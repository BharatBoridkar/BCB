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BHARAT\2025-2026\BCB\AMS\014-Fairfield\"/>
    </mc:Choice>
  </mc:AlternateContent>
  <xr:revisionPtr revIDLastSave="0" documentId="13_ncr:1_{674851B1-2566-40C3-A972-75FEE24D4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" sheetId="1" r:id="rId1"/>
    <sheet name="IE" sheetId="2" r:id="rId2"/>
    <sheet name="Sch I - FD" sheetId="3" r:id="rId3"/>
    <sheet name="Sch II,III &amp; IV " sheetId="5" r:id="rId4"/>
    <sheet name="BRS" sheetId="10" r:id="rId5"/>
    <sheet name="Workings" sheetId="8" r:id="rId6"/>
  </sheets>
  <definedNames>
    <definedName name="_xlnm.Print_Area" localSheetId="0">BS!$A$1:$H$63</definedName>
    <definedName name="_xlnm.Print_Area" localSheetId="1">IE!$A$1:$H$59</definedName>
    <definedName name="_xlnm.Print_Area" localSheetId="2">'Sch I - FD'!$A$1:$J$35</definedName>
    <definedName name="_xlnm.Print_Area" localSheetId="3">'Sch II,III &amp; IV '!$A$1:$E$30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G13" i="3"/>
  <c r="G33" i="3"/>
  <c r="E11" i="3"/>
  <c r="E29" i="3"/>
  <c r="E30" i="3"/>
  <c r="E25" i="3"/>
  <c r="E24" i="3"/>
  <c r="E16" i="3"/>
  <c r="E12" i="3"/>
  <c r="E7" i="3"/>
  <c r="G26" i="3" l="1"/>
  <c r="G10" i="1"/>
  <c r="D13" i="10"/>
  <c r="C49" i="1"/>
  <c r="D29" i="5"/>
  <c r="C31" i="3"/>
  <c r="C33" i="3"/>
  <c r="D45" i="2"/>
  <c r="D16" i="2" l="1"/>
  <c r="D25" i="2"/>
  <c r="D30" i="3"/>
  <c r="D31" i="3"/>
  <c r="D33" i="3"/>
  <c r="D23" i="10"/>
  <c r="G21" i="3"/>
  <c r="G40" i="1" l="1"/>
  <c r="G39" i="1"/>
  <c r="C30" i="1"/>
  <c r="H29" i="2"/>
  <c r="E26" i="3"/>
  <c r="D26" i="5"/>
  <c r="A53" i="1"/>
  <c r="C15" i="1"/>
  <c r="G22" i="2"/>
  <c r="G23" i="2"/>
  <c r="C8" i="3"/>
  <c r="G8" i="2"/>
  <c r="G11" i="2"/>
  <c r="G15" i="2"/>
  <c r="B8" i="8"/>
  <c r="E7" i="8"/>
  <c r="D14" i="5"/>
  <c r="C44" i="1" s="1"/>
  <c r="E6" i="1"/>
  <c r="C13" i="3"/>
  <c r="G31" i="3"/>
  <c r="D29" i="3"/>
  <c r="C26" i="3"/>
  <c r="D25" i="3"/>
  <c r="D24" i="3"/>
  <c r="C21" i="3"/>
  <c r="D21" i="3"/>
  <c r="G17" i="3"/>
  <c r="C17" i="3"/>
  <c r="E17" i="3"/>
  <c r="D16" i="3"/>
  <c r="D17" i="3" s="1"/>
  <c r="D12" i="3"/>
  <c r="E13" i="3"/>
  <c r="D11" i="3"/>
  <c r="D13" i="3" s="1"/>
  <c r="G8" i="3"/>
  <c r="E8" i="3"/>
  <c r="D7" i="3"/>
  <c r="D8" i="3" s="1"/>
  <c r="H17" i="2" l="1"/>
  <c r="G13" i="1"/>
  <c r="E20" i="3"/>
  <c r="E21" i="3" s="1"/>
  <c r="D26" i="3"/>
  <c r="G14" i="1" s="1"/>
  <c r="E31" i="3"/>
  <c r="E33" i="3" s="1"/>
  <c r="H26" i="2" l="1"/>
  <c r="B29" i="5" l="1"/>
  <c r="D28" i="8"/>
  <c r="D27" i="8"/>
  <c r="D23" i="8"/>
  <c r="D22" i="8"/>
  <c r="A49" i="2"/>
  <c r="D18" i="8"/>
  <c r="D17" i="8"/>
  <c r="D13" i="8"/>
  <c r="D12" i="8"/>
  <c r="D7" i="8"/>
  <c r="D8" i="8"/>
  <c r="H49" i="1"/>
  <c r="E8" i="8" l="1"/>
  <c r="E28" i="8"/>
  <c r="E23" i="8"/>
  <c r="E18" i="8"/>
  <c r="E13" i="8"/>
  <c r="C18" i="1" l="1"/>
  <c r="C22" i="1"/>
  <c r="C27" i="1"/>
  <c r="C32" i="1"/>
  <c r="D33" i="1" s="1"/>
  <c r="C38" i="1"/>
  <c r="C36" i="1" l="1"/>
  <c r="D6" i="10"/>
  <c r="G43" i="1"/>
  <c r="G44" i="1" s="1"/>
  <c r="G33" i="1"/>
  <c r="G34" i="1" s="1"/>
  <c r="H34" i="1" s="1"/>
  <c r="G29" i="1"/>
  <c r="D7" i="5"/>
  <c r="G18" i="1" s="1"/>
  <c r="H21" i="1" s="1"/>
  <c r="C45" i="1"/>
  <c r="D46" i="1" s="1"/>
  <c r="C35" i="1" l="1"/>
  <c r="C25" i="1"/>
  <c r="C20" i="1"/>
  <c r="E53" i="1"/>
  <c r="H6" i="1"/>
  <c r="D6" i="2"/>
  <c r="H6" i="2" s="1"/>
  <c r="A6" i="2"/>
  <c r="E6" i="2" s="1"/>
  <c r="H5" i="2"/>
  <c r="H40" i="1" l="1"/>
  <c r="G30" i="1"/>
  <c r="H30" i="1" s="1"/>
  <c r="E49" i="2"/>
  <c r="H44" i="1" l="1"/>
  <c r="D26" i="10" l="1"/>
  <c r="D28" i="1"/>
  <c r="A1" i="5"/>
  <c r="A1" i="3"/>
  <c r="A3" i="2"/>
  <c r="A1" i="2"/>
  <c r="D23" i="1"/>
  <c r="H10" i="1"/>
  <c r="H14" i="1" l="1"/>
  <c r="H53" i="1" s="1"/>
  <c r="H49" i="2" l="1"/>
  <c r="D47" i="2" l="1"/>
  <c r="D48" i="2" l="1"/>
  <c r="C17" i="1"/>
  <c r="D18" i="1" s="1"/>
  <c r="D49" i="2"/>
  <c r="C52" i="1"/>
  <c r="D52" i="1" s="1"/>
  <c r="D53" i="1" l="1"/>
  <c r="I56" i="1" s="1"/>
</calcChain>
</file>

<file path=xl/sharedStrings.xml><?xml version="1.0" encoding="utf-8"?>
<sst xmlns="http://schemas.openxmlformats.org/spreadsheetml/2006/main" count="298" uniqueCount="212">
  <si>
    <t>LIABILITIES</t>
  </si>
  <si>
    <t>ASSETS</t>
  </si>
  <si>
    <t>Note: Workings Page is not the be printed</t>
  </si>
  <si>
    <t>Cash and Bank Balances:</t>
  </si>
  <si>
    <t>Sinking Fund</t>
  </si>
  <si>
    <t>Certificate No.</t>
  </si>
  <si>
    <t>Bank</t>
  </si>
  <si>
    <t>Maturity Date</t>
  </si>
  <si>
    <t>Authorised Share Capital</t>
  </si>
  <si>
    <t>Maturity Value</t>
  </si>
  <si>
    <t>Date</t>
  </si>
  <si>
    <t>Amount Invested</t>
  </si>
  <si>
    <t>Total</t>
  </si>
  <si>
    <t>Interest %</t>
  </si>
  <si>
    <t>Share Capital</t>
  </si>
  <si>
    <t>Cash in Hand</t>
  </si>
  <si>
    <t>Mumbai District Central Co-op Bank</t>
  </si>
  <si>
    <t>Fixed Assets:</t>
  </si>
  <si>
    <t>Less: Depreciation @ 10%</t>
  </si>
  <si>
    <t>As per my report of even date</t>
  </si>
  <si>
    <t>Amount</t>
  </si>
  <si>
    <t>EXPENDITURE</t>
  </si>
  <si>
    <t>INCOME</t>
  </si>
  <si>
    <t>Water Expenses</t>
  </si>
  <si>
    <t>Salary Expenses</t>
  </si>
  <si>
    <t>Bonus</t>
  </si>
  <si>
    <t>Insurance Expense</t>
  </si>
  <si>
    <t>Audit Fees</t>
  </si>
  <si>
    <t>Accounting Charges</t>
  </si>
  <si>
    <t>Printing and Stationary</t>
  </si>
  <si>
    <t>Professional Fees</t>
  </si>
  <si>
    <t>Bank Charges</t>
  </si>
  <si>
    <t>Subscription Federation</t>
  </si>
  <si>
    <t>Excess of Income over Expenditure</t>
  </si>
  <si>
    <t>Municipal Taxes</t>
  </si>
  <si>
    <t>Water Charges</t>
  </si>
  <si>
    <t>Parking Charges</t>
  </si>
  <si>
    <t>Insurance Charges</t>
  </si>
  <si>
    <t>Interest Income from Savings Deposits</t>
  </si>
  <si>
    <t>Less: trf. to Reserve Fund</t>
  </si>
  <si>
    <t>Less: trf. to Sinking Fund</t>
  </si>
  <si>
    <t>Less: trf. to Repair Fund</t>
  </si>
  <si>
    <t>Total Amt</t>
  </si>
  <si>
    <t>SCB</t>
  </si>
  <si>
    <t>29.03.2024</t>
  </si>
  <si>
    <t>Grand Total</t>
  </si>
  <si>
    <t>The Saraswat Co-op Bank</t>
  </si>
  <si>
    <t>Accrued Interest on Fixed Deposits</t>
  </si>
  <si>
    <t>Opening Balance</t>
  </si>
  <si>
    <t>Less: Depreciation @ 15%</t>
  </si>
  <si>
    <t>Add: Additions during the year</t>
  </si>
  <si>
    <t>Add: Interest earned during the year</t>
  </si>
  <si>
    <t>Add: Interest earned during the year on FD</t>
  </si>
  <si>
    <t>Add: Interest earned during the year on RD</t>
  </si>
  <si>
    <t>Repair Fund</t>
  </si>
  <si>
    <t>Building Development Fund</t>
  </si>
  <si>
    <t>Towards Land and Building</t>
  </si>
  <si>
    <t>Other Current Assets</t>
  </si>
  <si>
    <t>Lift Maintenance</t>
  </si>
  <si>
    <t>Pest Control Charges</t>
  </si>
  <si>
    <t>68, Marve Road, Orlem, Malad (West), Mumbai, Maharshtra - 400064</t>
  </si>
  <si>
    <t>Maintenance Charges</t>
  </si>
  <si>
    <t>Electricity Charges</t>
  </si>
  <si>
    <t>Interest on Delayed Payments</t>
  </si>
  <si>
    <t>Non Occupancy Charges</t>
  </si>
  <si>
    <t xml:space="preserve"> </t>
  </si>
  <si>
    <t>Water Tank Cleaning Expense</t>
  </si>
  <si>
    <t>Insurance</t>
  </si>
  <si>
    <t>Income Tax</t>
  </si>
  <si>
    <t>Pest Control Expense</t>
  </si>
  <si>
    <t>Pest Control</t>
  </si>
  <si>
    <t>Add: 25% of Surplus</t>
  </si>
  <si>
    <t>Retention - R.K. Waterproofing Co.</t>
  </si>
  <si>
    <t>Less: Major Repair Expenses for the year</t>
  </si>
  <si>
    <t>Prepaid</t>
  </si>
  <si>
    <t>Provision</t>
  </si>
  <si>
    <t>TD0000400923</t>
  </si>
  <si>
    <t>Balance as per System (Book Balance)</t>
  </si>
  <si>
    <t xml:space="preserve">Less: </t>
  </si>
  <si>
    <t>Cheque issued but not presented (Outflow)</t>
  </si>
  <si>
    <t xml:space="preserve">Add: </t>
  </si>
  <si>
    <t>Cheque deposited but not cleared (Inflow)</t>
  </si>
  <si>
    <t>Amount Debited by Bank but not entered in the system (Issued)</t>
  </si>
  <si>
    <t>Amount credited in Bank but not entered in the system (Deposit)</t>
  </si>
  <si>
    <t>Balance as per Bank Passbook</t>
  </si>
  <si>
    <t>Fair Field CHS</t>
  </si>
  <si>
    <t>Mr. Fletcher Martins</t>
  </si>
  <si>
    <t>Add: Additional during the year</t>
  </si>
  <si>
    <t>( Regd. No. MUM/WP/HSG/PC/9693/97-98 )</t>
  </si>
  <si>
    <t>(Amt. in Rs.)</t>
  </si>
  <si>
    <t>(12,000 Share of ₹ 50/- each )</t>
  </si>
  <si>
    <t>Issued, Subscribed and Paid-up Share Capital:</t>
  </si>
  <si>
    <t>(180 Shares of ₹ 50/- each)</t>
  </si>
  <si>
    <t>Bal as per last year</t>
  </si>
  <si>
    <t>Members Contribution :</t>
  </si>
  <si>
    <t>Add: Excess of Income over Expenditure</t>
  </si>
  <si>
    <t>Fixed Deposits with Banks</t>
  </si>
  <si>
    <t>(i) Land and Building</t>
  </si>
  <si>
    <t>(ii) Furniture and Fixture</t>
  </si>
  <si>
    <t>(iii) Borewell Pump</t>
  </si>
  <si>
    <t>(iv) CCTV Systems</t>
  </si>
  <si>
    <t>(v) Fire Extinguisher</t>
  </si>
  <si>
    <t>Additional during the year</t>
  </si>
  <si>
    <t xml:space="preserve">Opening Balance </t>
  </si>
  <si>
    <t>To Service Charges</t>
  </si>
  <si>
    <t>By Other Income</t>
  </si>
  <si>
    <t>By Interest Income</t>
  </si>
  <si>
    <t>By Members Contribution Towards :</t>
  </si>
  <si>
    <t>To Water Expenses</t>
  </si>
  <si>
    <t>To Common Electricity Charges</t>
  </si>
  <si>
    <t>To Repair and Maintenance Expenses</t>
  </si>
  <si>
    <t>To Excess of Income over Expenditure</t>
  </si>
  <si>
    <t>Depreciation on Fixed Assets</t>
  </si>
  <si>
    <t>General Fund</t>
  </si>
  <si>
    <t>Education &amp; Training Fund</t>
  </si>
  <si>
    <t>29.03.2029</t>
  </si>
  <si>
    <t>Conveyance Charges</t>
  </si>
  <si>
    <t>Miscelleneous Charges</t>
  </si>
  <si>
    <t>Advance to Vendor - RK Water proofing</t>
  </si>
  <si>
    <t>Income and Expenditure Account :</t>
  </si>
  <si>
    <t>Prepaid Expenses :</t>
  </si>
  <si>
    <t>Current Liabilities and Provisions :</t>
  </si>
  <si>
    <t>(i) General Reserves Fund</t>
  </si>
  <si>
    <t>(ii) Sinking Fund</t>
  </si>
  <si>
    <t>(iii) Repair Fund</t>
  </si>
  <si>
    <t>(iv) Building Development Fund</t>
  </si>
  <si>
    <t>(v) Education and Training Fund</t>
  </si>
  <si>
    <t>Deposit with Adani Electricity</t>
  </si>
  <si>
    <t>Sr.no</t>
  </si>
  <si>
    <t>Particular</t>
  </si>
  <si>
    <t>Amt</t>
  </si>
  <si>
    <t>Adani Electricity</t>
  </si>
  <si>
    <t>Watchman</t>
  </si>
  <si>
    <t xml:space="preserve">Flat no </t>
  </si>
  <si>
    <t>Member Name</t>
  </si>
  <si>
    <t>Ms. Maureen Rodrigues</t>
  </si>
  <si>
    <t>Guest Parking Charges</t>
  </si>
  <si>
    <t>Housekeeping Expense</t>
  </si>
  <si>
    <t>TD1001240592</t>
  </si>
  <si>
    <t>TD1001227336 </t>
  </si>
  <si>
    <t>TD1001240642</t>
  </si>
  <si>
    <t xml:space="preserve">Professional Fees </t>
  </si>
  <si>
    <t xml:space="preserve">Property Tax BMC </t>
  </si>
  <si>
    <t xml:space="preserve">Water Charges </t>
  </si>
  <si>
    <t xml:space="preserve">Savita </t>
  </si>
  <si>
    <t>FY 2024-25</t>
  </si>
  <si>
    <t>Period</t>
  </si>
  <si>
    <t xml:space="preserve">Days </t>
  </si>
  <si>
    <t>Water Expense</t>
  </si>
  <si>
    <t>AMC - Lift</t>
  </si>
  <si>
    <t>R&amp;M - Lift</t>
  </si>
  <si>
    <t>R&amp;M - Garden</t>
  </si>
  <si>
    <t>R&amp;M - Plumbing</t>
  </si>
  <si>
    <t>R&amp;M - Electrical</t>
  </si>
  <si>
    <t>R&amp;M - Others</t>
  </si>
  <si>
    <t xml:space="preserve">R&amp;M - Fire Fighting </t>
  </si>
  <si>
    <t>R&amp;M - CCTV</t>
  </si>
  <si>
    <t>Less: trf. to Education and Train. Fund</t>
  </si>
  <si>
    <t>Less: trf. to Building Develop. Fund</t>
  </si>
  <si>
    <t>Interest Income from Fixed Deposits</t>
  </si>
  <si>
    <r>
      <t xml:space="preserve">Dues from Member's  </t>
    </r>
    <r>
      <rPr>
        <b/>
        <sz val="11"/>
        <color theme="1"/>
        <rFont val="Calibri"/>
        <family val="2"/>
        <scheme val="minor"/>
      </rPr>
      <t>(As per Sch - II)</t>
    </r>
  </si>
  <si>
    <r>
      <t>Investments</t>
    </r>
    <r>
      <rPr>
        <u/>
        <sz val="11"/>
        <color theme="1"/>
        <rFont val="Calibri"/>
        <family val="2"/>
        <scheme val="minor"/>
      </rPr>
      <t xml:space="preserve"> (As per Sch I)</t>
    </r>
  </si>
  <si>
    <r>
      <t xml:space="preserve">Advances from Members </t>
    </r>
    <r>
      <rPr>
        <u/>
        <sz val="11"/>
        <color theme="1"/>
        <rFont val="Calibri"/>
        <family val="2"/>
        <scheme val="minor"/>
      </rPr>
      <t>(As per Sch -  III)</t>
    </r>
  </si>
  <si>
    <t>Payables &amp; Provisions (As per Schedule IV)</t>
  </si>
  <si>
    <t>Gardener</t>
  </si>
  <si>
    <t xml:space="preserve">TDS Receivables </t>
  </si>
  <si>
    <t>25% Surplus transferred to Reserves</t>
  </si>
  <si>
    <t>15.09.2025</t>
  </si>
  <si>
    <t>26.06.2025</t>
  </si>
  <si>
    <t>N.A Tax write off</t>
  </si>
  <si>
    <t>Accrued Int 25-26</t>
  </si>
  <si>
    <t>TD1000855869_02</t>
  </si>
  <si>
    <t>TD1000855895_08</t>
  </si>
  <si>
    <t>TD1000855858_02</t>
  </si>
  <si>
    <t>14.06.2025</t>
  </si>
  <si>
    <t>TD1000855877_02</t>
  </si>
  <si>
    <t xml:space="preserve"> TD1001240638_01</t>
  </si>
  <si>
    <t>Balance Sheet as at 31st March, 2026</t>
  </si>
  <si>
    <t>Schedule III : Advance from Members as no 31 March 2026</t>
  </si>
  <si>
    <t>Schedule IV : Current Liabilities and Provisions as no 31 March 2026</t>
  </si>
  <si>
    <t>Schedule II : Dues from Members as no 31 March 2026</t>
  </si>
  <si>
    <t>Mr. Allwyn Sequeira</t>
  </si>
  <si>
    <t>Ms. Bernadette D'Souza</t>
  </si>
  <si>
    <t>Ms. Linda Pereira</t>
  </si>
  <si>
    <t>FY 2025-26</t>
  </si>
  <si>
    <t>Other Charges</t>
  </si>
  <si>
    <t>Legal Charges</t>
  </si>
  <si>
    <t>Water Pump Repair Charges</t>
  </si>
  <si>
    <t>Major Repairs</t>
  </si>
  <si>
    <t>Office Expenses</t>
  </si>
  <si>
    <t>Legal Fees</t>
  </si>
  <si>
    <t>Income and Expenditure Account for the year ended March 31, 2026</t>
  </si>
  <si>
    <t xml:space="preserve">Less : Utilisation during the year </t>
  </si>
  <si>
    <t xml:space="preserve">TDS Payable </t>
  </si>
  <si>
    <t>Schedule 1: Details of Fixed Deposits as on 31st March 2026</t>
  </si>
  <si>
    <t>Lift Maintenance AMC</t>
  </si>
  <si>
    <t>Garbage Disposal</t>
  </si>
  <si>
    <t>Festival Expenses</t>
  </si>
  <si>
    <t>Less: Transferred to BDF Fund &amp; Repair Fund</t>
  </si>
  <si>
    <t>Less: premature interest shortly deduct</t>
  </si>
  <si>
    <t>MDCC Reconciliation Statement as on 31.03.2026</t>
  </si>
  <si>
    <t>Saraswat Bank Reconciliation Statement as on 31.03.2026</t>
  </si>
  <si>
    <t>15.10.2026</t>
  </si>
  <si>
    <t>26.06.2026</t>
  </si>
  <si>
    <t>14.06.2026</t>
  </si>
  <si>
    <t>Shri. Bharat C. Boridkar</t>
  </si>
  <si>
    <t>Govt. Certified Panel Auditor</t>
  </si>
  <si>
    <t>[Panel No.: Mumbai-4/C1/1011404]</t>
  </si>
  <si>
    <t>Chairman                       Secretary                       Treasurer</t>
  </si>
  <si>
    <t>FAIR FIELD CO-OPERATIVE HOUSING SOCIETY LTD.</t>
  </si>
  <si>
    <t>FOR FAIR FIELD CO-OPERATIVE HOUSING SOCIETY LTD.</t>
  </si>
  <si>
    <t>RESERVE &amp;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</si>
</sst>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F800]dddd\,\ mmmm\ dd\,\ yyyy"/>
    <numFmt numFmtId="166" formatCode="&quot;Mumbai: &quot;dd&quot;th&quot;\ mmmm\,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42626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Times New Roman"/>
      <family val="1"/>
    </font>
    <font>
      <b/>
      <sz val="11"/>
      <name val="Bookman Old Style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0" fontId="27" fillId="0" borderId="0"/>
    <xf numFmtId="0" fontId="20" fillId="0" borderId="0"/>
  </cellStyleXfs>
  <cellXfs count="196">
    <xf numFmtId="0" fontId="0" fillId="0" borderId="0" xfId="0"/>
    <xf numFmtId="43" fontId="0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43" fontId="2" fillId="0" borderId="0" xfId="1" applyFont="1" applyAlignment="1">
      <alignment vertical="center"/>
    </xf>
    <xf numFmtId="43" fontId="0" fillId="0" borderId="0" xfId="1" applyFont="1"/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  <xf numFmtId="0" fontId="0" fillId="0" borderId="0" xfId="0" quotePrefix="1"/>
    <xf numFmtId="43" fontId="0" fillId="0" borderId="5" xfId="1" applyFont="1" applyFill="1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2"/>
    <xf numFmtId="0" fontId="6" fillId="0" borderId="14" xfId="0" applyFont="1" applyBorder="1"/>
    <xf numFmtId="0" fontId="6" fillId="0" borderId="14" xfId="0" applyFont="1" applyBorder="1" applyAlignment="1">
      <alignment horizontal="center"/>
    </xf>
    <xf numFmtId="4" fontId="8" fillId="0" borderId="14" xfId="0" applyNumberFormat="1" applyFont="1" applyBorder="1"/>
    <xf numFmtId="0" fontId="6" fillId="0" borderId="0" xfId="0" applyFont="1" applyAlignment="1">
      <alignment horizontal="center" vertical="center"/>
    </xf>
    <xf numFmtId="43" fontId="6" fillId="0" borderId="14" xfId="0" applyNumberFormat="1" applyFont="1" applyBorder="1" applyAlignment="1">
      <alignment horizontal="right"/>
    </xf>
    <xf numFmtId="0" fontId="5" fillId="0" borderId="14" xfId="0" applyFont="1" applyBorder="1"/>
    <xf numFmtId="4" fontId="6" fillId="0" borderId="0" xfId="0" applyNumberFormat="1" applyFont="1"/>
    <xf numFmtId="0" fontId="9" fillId="0" borderId="0" xfId="0" applyFont="1"/>
    <xf numFmtId="43" fontId="6" fillId="0" borderId="0" xfId="0" applyNumberFormat="1" applyFont="1"/>
    <xf numFmtId="43" fontId="8" fillId="0" borderId="14" xfId="0" applyNumberFormat="1" applyFont="1" applyBorder="1"/>
    <xf numFmtId="43" fontId="2" fillId="0" borderId="6" xfId="1" applyFont="1" applyFill="1" applyBorder="1" applyAlignment="1">
      <alignment vertical="center"/>
    </xf>
    <xf numFmtId="0" fontId="2" fillId="0" borderId="3" xfId="1" applyNumberFormat="1" applyFont="1" applyFill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43" fontId="0" fillId="0" borderId="1" xfId="1" applyFont="1" applyFill="1" applyBorder="1"/>
    <xf numFmtId="0" fontId="10" fillId="0" borderId="3" xfId="1" applyNumberFormat="1" applyFont="1" applyFill="1" applyBorder="1" applyAlignment="1">
      <alignment vertical="center"/>
    </xf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43" fontId="0" fillId="0" borderId="1" xfId="1" applyFont="1" applyFill="1" applyBorder="1" applyAlignment="1">
      <alignment horizontal="center"/>
    </xf>
    <xf numFmtId="10" fontId="0" fillId="0" borderId="1" xfId="1" applyNumberFormat="1" applyFont="1" applyFill="1" applyBorder="1"/>
    <xf numFmtId="43" fontId="2" fillId="0" borderId="8" xfId="1" applyFont="1" applyFill="1" applyBorder="1" applyAlignment="1">
      <alignment horizontal="center"/>
    </xf>
    <xf numFmtId="43" fontId="0" fillId="0" borderId="10" xfId="1" applyFont="1" applyFill="1" applyBorder="1"/>
    <xf numFmtId="43" fontId="2" fillId="0" borderId="10" xfId="1" applyFont="1" applyFill="1" applyBorder="1" applyAlignment="1">
      <alignment horizontal="center"/>
    </xf>
    <xf numFmtId="43" fontId="0" fillId="0" borderId="8" xfId="1" applyFont="1" applyFill="1" applyBorder="1"/>
    <xf numFmtId="43" fontId="2" fillId="0" borderId="17" xfId="1" applyFont="1" applyFill="1" applyBorder="1" applyAlignment="1">
      <alignment horizontal="center"/>
    </xf>
    <xf numFmtId="43" fontId="0" fillId="0" borderId="9" xfId="1" applyFont="1" applyFill="1" applyBorder="1" applyAlignment="1">
      <alignment horizontal="center"/>
    </xf>
    <xf numFmtId="43" fontId="0" fillId="0" borderId="9" xfId="1" applyFont="1" applyFill="1" applyBorder="1"/>
    <xf numFmtId="43" fontId="0" fillId="0" borderId="0" xfId="1" applyFont="1" applyFill="1" applyAlignment="1">
      <alignment horizontal="center"/>
    </xf>
    <xf numFmtId="43" fontId="0" fillId="0" borderId="0" xfId="1" applyFont="1" applyFill="1"/>
    <xf numFmtId="43" fontId="2" fillId="0" borderId="8" xfId="1" applyFont="1" applyFill="1" applyBorder="1" applyAlignment="1">
      <alignment horizontal="center" vertical="center" wrapText="1"/>
    </xf>
    <xf numFmtId="43" fontId="2" fillId="0" borderId="4" xfId="1" applyFont="1" applyFill="1" applyBorder="1" applyAlignment="1">
      <alignment vertical="center"/>
    </xf>
    <xf numFmtId="43" fontId="0" fillId="0" borderId="19" xfId="1" applyFont="1" applyFill="1" applyBorder="1" applyAlignment="1">
      <alignment horizontal="center"/>
    </xf>
    <xf numFmtId="43" fontId="0" fillId="0" borderId="19" xfId="1" applyFont="1" applyFill="1" applyBorder="1"/>
    <xf numFmtId="0" fontId="2" fillId="0" borderId="0" xfId="0" applyFont="1" applyAlignment="1">
      <alignment horizontal="center"/>
    </xf>
    <xf numFmtId="10" fontId="0" fillId="0" borderId="20" xfId="1" applyNumberFormat="1" applyFont="1" applyFill="1" applyBorder="1"/>
    <xf numFmtId="165" fontId="2" fillId="0" borderId="8" xfId="1" applyNumberFormat="1" applyFont="1" applyFill="1" applyBorder="1" applyAlignment="1">
      <alignment horizontal="center" vertical="center"/>
    </xf>
    <xf numFmtId="43" fontId="0" fillId="0" borderId="6" xfId="1" applyFont="1" applyFill="1" applyBorder="1" applyAlignment="1">
      <alignment vertical="center"/>
    </xf>
    <xf numFmtId="0" fontId="0" fillId="0" borderId="0" xfId="0" applyAlignment="1">
      <alignment horizontal="center"/>
    </xf>
    <xf numFmtId="43" fontId="1" fillId="0" borderId="4" xfId="1" applyFont="1" applyFill="1" applyBorder="1" applyAlignment="1">
      <alignment vertical="center"/>
    </xf>
    <xf numFmtId="43" fontId="1" fillId="0" borderId="6" xfId="1" applyFont="1" applyFill="1" applyBorder="1" applyAlignment="1">
      <alignment vertical="center"/>
    </xf>
    <xf numFmtId="43" fontId="1" fillId="0" borderId="5" xfId="1" applyFont="1" applyFill="1" applyBorder="1" applyAlignment="1">
      <alignment vertical="center"/>
    </xf>
    <xf numFmtId="9" fontId="0" fillId="0" borderId="0" xfId="0" applyNumberFormat="1"/>
    <xf numFmtId="43" fontId="2" fillId="0" borderId="3" xfId="1" applyFont="1" applyFill="1" applyBorder="1" applyAlignment="1">
      <alignment vertical="center"/>
    </xf>
    <xf numFmtId="43" fontId="1" fillId="0" borderId="3" xfId="1" applyFont="1" applyFill="1" applyBorder="1" applyAlignment="1">
      <alignment vertical="center"/>
    </xf>
    <xf numFmtId="1" fontId="2" fillId="2" borderId="0" xfId="0" applyNumberFormat="1" applyFont="1" applyFill="1" applyAlignment="1">
      <alignment horizontal="center"/>
    </xf>
    <xf numFmtId="43" fontId="0" fillId="0" borderId="0" xfId="1" applyFont="1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2" fillId="0" borderId="0" xfId="1" applyFont="1" applyFill="1" applyAlignment="1">
      <alignment vertical="center"/>
    </xf>
    <xf numFmtId="43" fontId="0" fillId="0" borderId="24" xfId="1" applyFont="1" applyFill="1" applyBorder="1" applyAlignment="1">
      <alignment vertical="center"/>
    </xf>
    <xf numFmtId="43" fontId="2" fillId="0" borderId="8" xfId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0" fontId="2" fillId="0" borderId="4" xfId="1" applyNumberFormat="1" applyFont="1" applyFill="1" applyBorder="1" applyAlignment="1">
      <alignment vertical="center"/>
    </xf>
    <xf numFmtId="43" fontId="0" fillId="0" borderId="5" xfId="1" applyFont="1" applyFill="1" applyBorder="1"/>
    <xf numFmtId="43" fontId="2" fillId="0" borderId="7" xfId="1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0" xfId="0" applyAlignment="1">
      <alignment vertical="center"/>
    </xf>
    <xf numFmtId="43" fontId="2" fillId="0" borderId="0" xfId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4" fontId="6" fillId="0" borderId="0" xfId="0" applyNumberFormat="1" applyFont="1" applyAlignment="1">
      <alignment horizontal="center" vertical="center"/>
    </xf>
    <xf numFmtId="15" fontId="6" fillId="0" borderId="0" xfId="0" applyNumberFormat="1" applyFont="1"/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43" fontId="0" fillId="0" borderId="0" xfId="0" applyNumberFormat="1"/>
    <xf numFmtId="0" fontId="0" fillId="0" borderId="1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center"/>
    </xf>
    <xf numFmtId="0" fontId="10" fillId="0" borderId="3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43" fontId="14" fillId="0" borderId="15" xfId="1" applyFont="1" applyFill="1" applyBorder="1" applyAlignment="1">
      <alignment horizontal="center" vertical="center"/>
    </xf>
    <xf numFmtId="43" fontId="14" fillId="0" borderId="9" xfId="1" applyFont="1" applyFill="1" applyBorder="1" applyAlignment="1">
      <alignment horizontal="center" vertical="center"/>
    </xf>
    <xf numFmtId="43" fontId="18" fillId="0" borderId="5" xfId="1" applyFont="1" applyFill="1" applyBorder="1" applyAlignment="1">
      <alignment horizontal="right" vertical="center"/>
    </xf>
    <xf numFmtId="43" fontId="2" fillId="0" borderId="3" xfId="1" applyFont="1" applyBorder="1" applyAlignment="1"/>
    <xf numFmtId="43" fontId="22" fillId="0" borderId="0" xfId="1" applyFont="1" applyBorder="1" applyAlignment="1">
      <alignment vertical="center"/>
    </xf>
    <xf numFmtId="43" fontId="0" fillId="0" borderId="0" xfId="1" applyFont="1" applyBorder="1" applyAlignment="1"/>
    <xf numFmtId="0" fontId="0" fillId="0" borderId="4" xfId="0" applyBorder="1"/>
    <xf numFmtId="0" fontId="24" fillId="0" borderId="3" xfId="0" applyFont="1" applyBorder="1"/>
    <xf numFmtId="43" fontId="0" fillId="0" borderId="0" xfId="4" applyFont="1" applyFill="1" applyBorder="1"/>
    <xf numFmtId="43" fontId="2" fillId="0" borderId="0" xfId="4" applyFont="1" applyFill="1" applyBorder="1"/>
    <xf numFmtId="0" fontId="25" fillId="0" borderId="3" xfId="0" applyFont="1" applyBorder="1"/>
    <xf numFmtId="0" fontId="2" fillId="0" borderId="0" xfId="4" applyNumberFormat="1" applyFont="1" applyFill="1" applyBorder="1" applyAlignment="1">
      <alignment horizontal="left" vertical="top"/>
    </xf>
    <xf numFmtId="1" fontId="28" fillId="0" borderId="3" xfId="5" applyNumberFormat="1" applyFont="1" applyBorder="1" applyAlignment="1">
      <alignment vertical="center"/>
    </xf>
    <xf numFmtId="1" fontId="29" fillId="0" borderId="3" xfId="5" applyNumberFormat="1" applyFont="1" applyBorder="1" applyAlignment="1">
      <alignment vertical="center"/>
    </xf>
    <xf numFmtId="0" fontId="0" fillId="0" borderId="9" xfId="0" applyBorder="1" applyAlignment="1">
      <alignment horizontal="left" vertical="top"/>
    </xf>
    <xf numFmtId="0" fontId="0" fillId="0" borderId="9" xfId="4" applyNumberFormat="1" applyFont="1" applyFill="1" applyBorder="1" applyAlignment="1">
      <alignment horizontal="left" vertical="top"/>
    </xf>
    <xf numFmtId="0" fontId="2" fillId="0" borderId="9" xfId="4" applyNumberFormat="1" applyFont="1" applyFill="1" applyBorder="1" applyAlignment="1">
      <alignment horizontal="left" vertical="top"/>
    </xf>
    <xf numFmtId="0" fontId="0" fillId="0" borderId="9" xfId="0" applyBorder="1"/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43" fontId="0" fillId="0" borderId="0" xfId="1" applyFont="1" applyBorder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/>
    <xf numFmtId="0" fontId="29" fillId="0" borderId="0" xfId="0" applyFont="1" applyAlignment="1">
      <alignment vertical="center"/>
    </xf>
    <xf numFmtId="2" fontId="29" fillId="0" borderId="0" xfId="0" applyNumberFormat="1" applyFont="1" applyAlignment="1">
      <alignment vertical="center"/>
    </xf>
    <xf numFmtId="43" fontId="0" fillId="0" borderId="5" xfId="0" applyNumberFormat="1" applyBorder="1"/>
    <xf numFmtId="0" fontId="23" fillId="0" borderId="0" xfId="3" applyFont="1" applyAlignment="1">
      <alignment horizontal="center"/>
    </xf>
    <xf numFmtId="43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3" xfId="0" applyFont="1" applyBorder="1"/>
    <xf numFmtId="0" fontId="13" fillId="0" borderId="0" xfId="0" applyFont="1"/>
    <xf numFmtId="0" fontId="13" fillId="0" borderId="4" xfId="0" applyFont="1" applyBorder="1"/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164" fontId="0" fillId="0" borderId="19" xfId="1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5" xfId="0" applyBorder="1"/>
    <xf numFmtId="164" fontId="2" fillId="0" borderId="26" xfId="1" applyNumberFormat="1" applyFont="1" applyFill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164" fontId="2" fillId="0" borderId="27" xfId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164" fontId="0" fillId="0" borderId="24" xfId="1" applyNumberFormat="1" applyFont="1" applyFill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164" fontId="2" fillId="0" borderId="28" xfId="1" applyNumberFormat="1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164" fontId="0" fillId="0" borderId="24" xfId="1" applyNumberFormat="1" applyFont="1" applyFill="1" applyBorder="1" applyAlignment="1">
      <alignment horizontal="center" vertical="center"/>
    </xf>
    <xf numFmtId="43" fontId="2" fillId="0" borderId="28" xfId="1" applyFont="1" applyFill="1" applyBorder="1" applyAlignment="1">
      <alignment horizontal="center" vertical="center"/>
    </xf>
    <xf numFmtId="164" fontId="2" fillId="0" borderId="8" xfId="1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166" fontId="29" fillId="0" borderId="15" xfId="6" applyNumberFormat="1" applyFont="1" applyBorder="1" applyAlignment="1">
      <alignment horizontal="left" vertical="center"/>
    </xf>
    <xf numFmtId="166" fontId="29" fillId="0" borderId="9" xfId="6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43" fontId="2" fillId="0" borderId="16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horizontal="center" vertical="center"/>
    </xf>
    <xf numFmtId="0" fontId="12" fillId="0" borderId="18" xfId="1" applyNumberFormat="1" applyFont="1" applyBorder="1" applyAlignment="1">
      <alignment horizontal="center" vertical="center"/>
    </xf>
    <xf numFmtId="0" fontId="12" fillId="0" borderId="20" xfId="1" applyNumberFormat="1" applyFont="1" applyBorder="1" applyAlignment="1">
      <alignment horizontal="center" vertical="center"/>
    </xf>
    <xf numFmtId="0" fontId="12" fillId="0" borderId="2" xfId="1" applyNumberFormat="1" applyFont="1" applyBorder="1" applyAlignment="1">
      <alignment horizontal="center" vertical="center"/>
    </xf>
    <xf numFmtId="43" fontId="18" fillId="0" borderId="3" xfId="1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43" fontId="18" fillId="0" borderId="4" xfId="1" applyFont="1" applyBorder="1" applyAlignment="1">
      <alignment horizontal="center" vertical="center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4" fillId="0" borderId="4" xfId="1" applyFont="1" applyFill="1" applyBorder="1" applyAlignment="1">
      <alignment horizontal="center" vertical="center"/>
    </xf>
    <xf numFmtId="43" fontId="16" fillId="0" borderId="3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43" fontId="16" fillId="0" borderId="4" xfId="1" applyFont="1" applyFill="1" applyBorder="1" applyAlignment="1">
      <alignment horizontal="center" vertical="center"/>
    </xf>
    <xf numFmtId="0" fontId="12" fillId="0" borderId="18" xfId="1" applyNumberFormat="1" applyFont="1" applyFill="1" applyBorder="1" applyAlignment="1">
      <alignment horizontal="center" vertical="center"/>
    </xf>
    <xf numFmtId="0" fontId="12" fillId="0" borderId="20" xfId="1" applyNumberFormat="1" applyFont="1" applyFill="1" applyBorder="1" applyAlignment="1">
      <alignment horizontal="center" vertical="center"/>
    </xf>
    <xf numFmtId="0" fontId="12" fillId="0" borderId="2" xfId="1" applyNumberFormat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3" fontId="2" fillId="0" borderId="0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0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3" fontId="2" fillId="0" borderId="22" xfId="1" applyFont="1" applyFill="1" applyBorder="1" applyAlignment="1">
      <alignment horizontal="center" vertical="center"/>
    </xf>
    <xf numFmtId="43" fontId="2" fillId="0" borderId="21" xfId="1" applyFont="1" applyFill="1" applyBorder="1" applyAlignment="1">
      <alignment horizontal="center" vertical="center"/>
    </xf>
    <xf numFmtId="43" fontId="2" fillId="0" borderId="23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5" fillId="0" borderId="12" xfId="0" applyFont="1" applyBorder="1" applyAlignment="1">
      <alignment horizontal="center"/>
    </xf>
    <xf numFmtId="0" fontId="4" fillId="0" borderId="13" xfId="0" applyFont="1" applyBorder="1"/>
    <xf numFmtId="0" fontId="5" fillId="0" borderId="0" xfId="0" applyFont="1" applyAlignment="1">
      <alignment horizontal="center"/>
    </xf>
  </cellXfs>
  <cellStyles count="7">
    <cellStyle name="Comma" xfId="1" builtinId="3"/>
    <cellStyle name="Comma 2 2" xfId="4" xr:uid="{77345593-04F9-487D-BCDF-D31084C9419D}"/>
    <cellStyle name="Hyperlink" xfId="2" builtinId="8"/>
    <cellStyle name="Normal" xfId="0" builtinId="0"/>
    <cellStyle name="Normal 2" xfId="3" xr:uid="{0998480F-B482-4706-9698-BDCB3BAB9AB7}"/>
    <cellStyle name="Normal_BSPL 2004 NS" xfId="6" xr:uid="{0E6CF28B-B6DB-4DDD-9C03-4DB282EA159C}"/>
    <cellStyle name="Normal_FY 2003-2004  2 2" xfId="5" xr:uid="{609716AE-20FE-4685-88FD-A7BF96A3F9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topLeftCell="A48" zoomScaleNormal="103" zoomScaleSheetLayoutView="100" workbookViewId="0">
      <selection activeCell="A63" sqref="A63:C63"/>
    </sheetView>
  </sheetViews>
  <sheetFormatPr defaultColWidth="8.88671875" defaultRowHeight="14.4" x14ac:dyDescent="0.3"/>
  <cols>
    <col min="1" max="1" width="14.6640625" style="1" customWidth="1"/>
    <col min="2" max="2" width="42.109375" style="1" bestFit="1" customWidth="1"/>
    <col min="3" max="3" width="14.6640625" style="1" customWidth="1"/>
    <col min="4" max="4" width="14.6640625" style="3" customWidth="1"/>
    <col min="5" max="5" width="14.6640625" style="1" customWidth="1"/>
    <col min="6" max="6" width="37.33203125" style="1" bestFit="1" customWidth="1"/>
    <col min="7" max="7" width="14.6640625" style="1" customWidth="1"/>
    <col min="8" max="8" width="14.6640625" style="3" customWidth="1"/>
    <col min="9" max="9" width="13.88671875" style="1" bestFit="1" customWidth="1"/>
    <col min="10" max="10" width="12.5546875" style="1" bestFit="1" customWidth="1"/>
    <col min="11" max="11" width="10" style="1" bestFit="1" customWidth="1"/>
    <col min="12" max="16384" width="8.88671875" style="1"/>
  </cols>
  <sheetData>
    <row r="1" spans="1:9" ht="21" x14ac:dyDescent="0.3">
      <c r="A1" s="156" t="s">
        <v>209</v>
      </c>
      <c r="B1" s="157"/>
      <c r="C1" s="157"/>
      <c r="D1" s="157"/>
      <c r="E1" s="157"/>
      <c r="F1" s="157"/>
      <c r="G1" s="157"/>
      <c r="H1" s="158"/>
    </row>
    <row r="2" spans="1:9" x14ac:dyDescent="0.3">
      <c r="A2" s="159" t="s">
        <v>88</v>
      </c>
      <c r="B2" s="160"/>
      <c r="C2" s="160"/>
      <c r="D2" s="160"/>
      <c r="E2" s="160"/>
      <c r="F2" s="160"/>
      <c r="G2" s="160"/>
      <c r="H2" s="161"/>
    </row>
    <row r="3" spans="1:9" x14ac:dyDescent="0.3">
      <c r="A3" s="159" t="s">
        <v>60</v>
      </c>
      <c r="B3" s="160"/>
      <c r="C3" s="160"/>
      <c r="D3" s="160"/>
      <c r="E3" s="160"/>
      <c r="F3" s="160"/>
      <c r="G3" s="160"/>
      <c r="H3" s="161"/>
    </row>
    <row r="4" spans="1:9" ht="18" x14ac:dyDescent="0.3">
      <c r="A4" s="162" t="s">
        <v>177</v>
      </c>
      <c r="B4" s="163"/>
      <c r="C4" s="163"/>
      <c r="D4" s="163"/>
      <c r="E4" s="163"/>
      <c r="F4" s="163"/>
      <c r="G4" s="163"/>
      <c r="H4" s="164"/>
      <c r="I4" s="58"/>
    </row>
    <row r="5" spans="1:9" ht="11.1" customHeight="1" x14ac:dyDescent="0.3">
      <c r="A5" s="99"/>
      <c r="B5" s="100"/>
      <c r="C5" s="100"/>
      <c r="D5" s="100"/>
      <c r="E5" s="100"/>
      <c r="F5" s="100"/>
      <c r="G5" s="100"/>
      <c r="H5" s="101" t="s">
        <v>89</v>
      </c>
      <c r="I5" s="58"/>
    </row>
    <row r="6" spans="1:9" s="2" customFormat="1" ht="15" thickBot="1" x14ac:dyDescent="0.35">
      <c r="A6" s="48">
        <v>45747</v>
      </c>
      <c r="B6" s="154" t="s">
        <v>0</v>
      </c>
      <c r="C6" s="155"/>
      <c r="D6" s="48">
        <v>46112</v>
      </c>
      <c r="E6" s="48">
        <f>A6</f>
        <v>45747</v>
      </c>
      <c r="F6" s="154" t="s">
        <v>1</v>
      </c>
      <c r="G6" s="155"/>
      <c r="H6" s="48">
        <f>D6</f>
        <v>46112</v>
      </c>
      <c r="I6" s="59"/>
    </row>
    <row r="7" spans="1:9" ht="19.2" customHeight="1" thickTop="1" x14ac:dyDescent="0.3">
      <c r="A7" s="49"/>
      <c r="B7" s="28" t="s">
        <v>8</v>
      </c>
      <c r="C7" s="10"/>
      <c r="D7" s="24"/>
      <c r="E7" s="49"/>
      <c r="F7" s="28" t="s">
        <v>3</v>
      </c>
      <c r="G7" s="10"/>
      <c r="H7" s="24"/>
      <c r="I7" s="58"/>
    </row>
    <row r="8" spans="1:9" ht="15" thickBot="1" x14ac:dyDescent="0.35">
      <c r="A8" s="66">
        <v>600000</v>
      </c>
      <c r="B8" s="56" t="s">
        <v>90</v>
      </c>
      <c r="C8" s="10"/>
      <c r="D8" s="66">
        <v>600000</v>
      </c>
      <c r="E8" s="49">
        <v>1854</v>
      </c>
      <c r="F8" s="56" t="s">
        <v>15</v>
      </c>
      <c r="G8" s="10">
        <v>1570</v>
      </c>
      <c r="H8" s="24"/>
      <c r="I8" s="58"/>
    </row>
    <row r="9" spans="1:9" ht="15" thickTop="1" x14ac:dyDescent="0.3">
      <c r="A9" s="49"/>
      <c r="B9" s="56"/>
      <c r="C9" s="10"/>
      <c r="D9" s="24"/>
      <c r="E9" s="49">
        <v>11775</v>
      </c>
      <c r="F9" s="56" t="s">
        <v>16</v>
      </c>
      <c r="G9" s="10">
        <v>11775</v>
      </c>
      <c r="H9" s="24"/>
      <c r="I9" s="58"/>
    </row>
    <row r="10" spans="1:9" x14ac:dyDescent="0.3">
      <c r="A10" s="49"/>
      <c r="B10" s="28" t="s">
        <v>91</v>
      </c>
      <c r="C10" s="10"/>
      <c r="D10" s="24"/>
      <c r="E10" s="49">
        <v>485220.61</v>
      </c>
      <c r="F10" s="56" t="s">
        <v>46</v>
      </c>
      <c r="G10" s="9">
        <f>BRS!D4</f>
        <v>426209.01</v>
      </c>
      <c r="H10" s="24">
        <f>SUM(G8:G10)</f>
        <v>439554.01</v>
      </c>
      <c r="I10" s="58"/>
    </row>
    <row r="11" spans="1:9" x14ac:dyDescent="0.3">
      <c r="A11" s="24">
        <v>9000</v>
      </c>
      <c r="B11" s="56" t="s">
        <v>92</v>
      </c>
      <c r="C11" s="10"/>
      <c r="D11" s="24">
        <v>9000</v>
      </c>
      <c r="E11" s="49"/>
      <c r="F11" s="56"/>
      <c r="G11" s="10"/>
      <c r="H11" s="24"/>
      <c r="I11" s="58"/>
    </row>
    <row r="12" spans="1:9" x14ac:dyDescent="0.3">
      <c r="A12" s="49"/>
      <c r="B12" s="56"/>
      <c r="C12" s="10"/>
      <c r="D12" s="24"/>
      <c r="E12" s="49"/>
      <c r="F12" s="28" t="s">
        <v>161</v>
      </c>
      <c r="G12" s="10"/>
      <c r="H12" s="24"/>
      <c r="I12" s="58"/>
    </row>
    <row r="13" spans="1:9" x14ac:dyDescent="0.3">
      <c r="A13" s="49"/>
      <c r="B13" s="28" t="s">
        <v>211</v>
      </c>
      <c r="C13" s="10"/>
      <c r="D13" s="24"/>
      <c r="E13" s="49">
        <v>1825894</v>
      </c>
      <c r="F13" s="56" t="s">
        <v>96</v>
      </c>
      <c r="G13" s="10">
        <f>'Sch I - FD'!C33</f>
        <v>1425496</v>
      </c>
      <c r="H13" s="24"/>
      <c r="I13" s="58"/>
    </row>
    <row r="14" spans="1:9" x14ac:dyDescent="0.3">
      <c r="A14" s="49"/>
      <c r="B14" s="28" t="s">
        <v>122</v>
      </c>
      <c r="C14" s="10"/>
      <c r="D14" s="24"/>
      <c r="E14" s="49">
        <v>86863</v>
      </c>
      <c r="F14" s="56" t="s">
        <v>47</v>
      </c>
      <c r="G14" s="9">
        <f>'Sch I - FD'!D33</f>
        <v>62482</v>
      </c>
      <c r="H14" s="24">
        <f>SUM(G13:G14)</f>
        <v>1487978</v>
      </c>
      <c r="I14" s="58"/>
    </row>
    <row r="15" spans="1:9" x14ac:dyDescent="0.3">
      <c r="A15" s="49">
        <v>116352</v>
      </c>
      <c r="B15" s="56" t="s">
        <v>93</v>
      </c>
      <c r="C15" s="10">
        <f>A15+A17+A18+A16</f>
        <v>210509.75</v>
      </c>
      <c r="D15" s="24"/>
      <c r="E15" s="49"/>
      <c r="F15" s="56"/>
      <c r="G15" s="10"/>
      <c r="H15" s="24"/>
      <c r="I15" s="58"/>
    </row>
    <row r="16" spans="1:9" x14ac:dyDescent="0.3">
      <c r="A16" s="49">
        <v>1400</v>
      </c>
      <c r="B16" s="56" t="s">
        <v>50</v>
      </c>
      <c r="C16" s="10">
        <v>28100</v>
      </c>
      <c r="D16" s="24"/>
      <c r="E16" s="49"/>
      <c r="F16" s="56"/>
      <c r="G16" s="10"/>
      <c r="H16" s="24"/>
      <c r="I16" s="58"/>
    </row>
    <row r="17" spans="1:9" x14ac:dyDescent="0.3">
      <c r="A17" s="49">
        <v>45066.75</v>
      </c>
      <c r="B17" s="56" t="s">
        <v>71</v>
      </c>
      <c r="C17" s="10">
        <f>IE!D47</f>
        <v>11434.100000000006</v>
      </c>
      <c r="D17" s="24"/>
      <c r="E17" s="49"/>
      <c r="F17" s="28" t="s">
        <v>57</v>
      </c>
      <c r="G17" s="10"/>
      <c r="H17" s="24"/>
      <c r="I17" s="58"/>
    </row>
    <row r="18" spans="1:9" x14ac:dyDescent="0.3">
      <c r="A18" s="49">
        <v>47691</v>
      </c>
      <c r="B18" s="56" t="s">
        <v>51</v>
      </c>
      <c r="C18" s="9">
        <f>-IE!G22</f>
        <v>60268</v>
      </c>
      <c r="D18" s="24">
        <f>SUM(C15:C18)</f>
        <v>310311.84999999998</v>
      </c>
      <c r="E18" s="49">
        <v>18359</v>
      </c>
      <c r="F18" s="26" t="s">
        <v>160</v>
      </c>
      <c r="G18" s="10">
        <f>'Sch II,III &amp; IV '!D7</f>
        <v>10551</v>
      </c>
      <c r="H18" s="24"/>
      <c r="I18" s="58"/>
    </row>
    <row r="19" spans="1:9" x14ac:dyDescent="0.3">
      <c r="A19" s="49"/>
      <c r="B19" s="28" t="s">
        <v>123</v>
      </c>
      <c r="C19" s="64"/>
      <c r="D19" s="43"/>
      <c r="E19" s="49">
        <v>11068.54</v>
      </c>
      <c r="F19" s="26" t="s">
        <v>127</v>
      </c>
      <c r="G19" s="10">
        <v>11068.54</v>
      </c>
      <c r="H19" s="24"/>
      <c r="I19" s="58"/>
    </row>
    <row r="20" spans="1:9" x14ac:dyDescent="0.3">
      <c r="A20" s="49">
        <v>533282</v>
      </c>
      <c r="B20" s="56" t="s">
        <v>93</v>
      </c>
      <c r="C20" s="10">
        <f>A20+A21+A22+A23</f>
        <v>581422</v>
      </c>
      <c r="D20" s="43"/>
      <c r="E20" s="52">
        <v>24000</v>
      </c>
      <c r="F20" s="26" t="s">
        <v>118</v>
      </c>
      <c r="G20" s="10">
        <v>39000</v>
      </c>
      <c r="H20" s="24"/>
      <c r="I20" s="58"/>
    </row>
    <row r="21" spans="1:9" x14ac:dyDescent="0.3">
      <c r="A21" s="49">
        <v>12792</v>
      </c>
      <c r="B21" s="56" t="s">
        <v>50</v>
      </c>
      <c r="C21" s="10">
        <v>12792</v>
      </c>
      <c r="D21" s="56"/>
      <c r="E21" s="52">
        <v>25250</v>
      </c>
      <c r="F21" s="26" t="s">
        <v>165</v>
      </c>
      <c r="G21" s="9">
        <v>35280</v>
      </c>
      <c r="H21" s="24">
        <f>SUM(G18:G21)</f>
        <v>95899.540000000008</v>
      </c>
      <c r="I21" s="58"/>
    </row>
    <row r="22" spans="1:9" x14ac:dyDescent="0.3">
      <c r="A22" s="49">
        <v>35348</v>
      </c>
      <c r="B22" s="56" t="s">
        <v>52</v>
      </c>
      <c r="C22" s="10">
        <f>-IE!G23</f>
        <v>954</v>
      </c>
      <c r="D22" s="24"/>
      <c r="E22" s="52"/>
      <c r="F22" s="56"/>
      <c r="G22" s="10"/>
      <c r="H22" s="24"/>
      <c r="I22" s="58"/>
    </row>
    <row r="23" spans="1:9" x14ac:dyDescent="0.3">
      <c r="A23" s="49">
        <v>0</v>
      </c>
      <c r="B23" s="56" t="s">
        <v>53</v>
      </c>
      <c r="C23" s="9">
        <v>0</v>
      </c>
      <c r="D23" s="24">
        <f>SUM(C20:C23)</f>
        <v>595168</v>
      </c>
      <c r="E23" s="52"/>
      <c r="F23" s="28" t="s">
        <v>17</v>
      </c>
      <c r="G23" s="10"/>
      <c r="H23" s="24"/>
      <c r="I23" s="58"/>
    </row>
    <row r="24" spans="1:9" x14ac:dyDescent="0.3">
      <c r="A24" s="49"/>
      <c r="B24" s="28" t="s">
        <v>124</v>
      </c>
      <c r="C24" s="10"/>
      <c r="D24" s="24"/>
      <c r="E24" s="52">
        <v>12040000</v>
      </c>
      <c r="F24" s="55" t="s">
        <v>97</v>
      </c>
      <c r="G24" s="10"/>
      <c r="H24" s="24">
        <v>12040000</v>
      </c>
      <c r="I24" s="58"/>
    </row>
    <row r="25" spans="1:9" x14ac:dyDescent="0.3">
      <c r="A25" s="49">
        <v>391684.7</v>
      </c>
      <c r="B25" s="56" t="s">
        <v>93</v>
      </c>
      <c r="C25" s="10">
        <f>A25+A26+A27+A28</f>
        <v>450886.7</v>
      </c>
      <c r="D25" s="24"/>
      <c r="E25" s="49"/>
      <c r="F25" s="56"/>
      <c r="G25" s="10"/>
      <c r="H25" s="24"/>
      <c r="I25" s="58"/>
    </row>
    <row r="26" spans="1:9" x14ac:dyDescent="0.3">
      <c r="A26" s="49">
        <v>38376</v>
      </c>
      <c r="B26" s="56" t="s">
        <v>50</v>
      </c>
      <c r="C26" s="10">
        <v>38376</v>
      </c>
      <c r="D26" s="24"/>
      <c r="E26" s="49"/>
      <c r="F26" s="28" t="s">
        <v>98</v>
      </c>
      <c r="G26" s="10"/>
      <c r="H26" s="24"/>
      <c r="I26" s="58"/>
    </row>
    <row r="27" spans="1:9" x14ac:dyDescent="0.3">
      <c r="A27" s="49">
        <v>20826</v>
      </c>
      <c r="B27" s="56" t="s">
        <v>53</v>
      </c>
      <c r="C27" s="10">
        <f>-IE!G24</f>
        <v>22293</v>
      </c>
      <c r="D27" s="24"/>
      <c r="E27" s="49">
        <v>1376</v>
      </c>
      <c r="F27" s="56" t="s">
        <v>103</v>
      </c>
      <c r="G27" s="10">
        <v>1706</v>
      </c>
      <c r="H27" s="24"/>
      <c r="I27" s="58"/>
    </row>
    <row r="28" spans="1:9" x14ac:dyDescent="0.3">
      <c r="A28" s="49">
        <v>0</v>
      </c>
      <c r="B28" s="56" t="s">
        <v>73</v>
      </c>
      <c r="C28" s="9">
        <v>-131037</v>
      </c>
      <c r="D28" s="24">
        <f>SUM(C25:C28)</f>
        <v>380518.7</v>
      </c>
      <c r="E28" s="49">
        <v>520</v>
      </c>
      <c r="F28" s="56" t="s">
        <v>87</v>
      </c>
      <c r="G28" s="9">
        <v>0</v>
      </c>
      <c r="H28" s="24"/>
      <c r="I28" s="58"/>
    </row>
    <row r="29" spans="1:9" x14ac:dyDescent="0.3">
      <c r="A29" s="49"/>
      <c r="B29" s="28" t="s">
        <v>125</v>
      </c>
      <c r="C29" s="10"/>
      <c r="D29" s="24"/>
      <c r="E29" s="49"/>
      <c r="F29" s="56"/>
      <c r="G29" s="10">
        <f>SUM(G27:G28)</f>
        <v>1706</v>
      </c>
      <c r="H29" s="24"/>
      <c r="I29" s="58"/>
    </row>
    <row r="30" spans="1:9" x14ac:dyDescent="0.3">
      <c r="A30" s="49">
        <v>370593</v>
      </c>
      <c r="B30" s="56" t="s">
        <v>93</v>
      </c>
      <c r="C30" s="10">
        <f>A30+A31+A32</f>
        <v>565159</v>
      </c>
      <c r="D30" s="24"/>
      <c r="E30" s="49">
        <v>-190</v>
      </c>
      <c r="F30" s="56" t="s">
        <v>18</v>
      </c>
      <c r="G30" s="9">
        <f>-ROUND(G29*10%,0)</f>
        <v>-171</v>
      </c>
      <c r="H30" s="24">
        <f>G29+G30</f>
        <v>1535</v>
      </c>
      <c r="I30" s="58"/>
    </row>
    <row r="31" spans="1:9" x14ac:dyDescent="0.3">
      <c r="A31" s="49">
        <v>180624</v>
      </c>
      <c r="B31" s="56" t="s">
        <v>50</v>
      </c>
      <c r="C31" s="10">
        <v>180624</v>
      </c>
      <c r="D31" s="43"/>
      <c r="E31" s="49"/>
      <c r="F31" s="56"/>
      <c r="G31" s="10"/>
      <c r="H31" s="24"/>
      <c r="I31" s="58"/>
    </row>
    <row r="32" spans="1:9" x14ac:dyDescent="0.3">
      <c r="A32" s="49">
        <v>13942</v>
      </c>
      <c r="B32" s="56" t="s">
        <v>52</v>
      </c>
      <c r="C32" s="10">
        <f>-IE!G26</f>
        <v>14486</v>
      </c>
      <c r="D32" s="43"/>
      <c r="E32" s="49"/>
      <c r="F32" s="28" t="s">
        <v>99</v>
      </c>
      <c r="G32" s="10"/>
      <c r="H32" s="24"/>
      <c r="I32" s="58"/>
    </row>
    <row r="33" spans="1:9" x14ac:dyDescent="0.3">
      <c r="A33" s="49">
        <v>0</v>
      </c>
      <c r="B33" s="56" t="s">
        <v>73</v>
      </c>
      <c r="C33" s="9">
        <v>-760269</v>
      </c>
      <c r="D33" s="43">
        <f>SUM(C30:C33)</f>
        <v>0</v>
      </c>
      <c r="E33" s="49">
        <v>260</v>
      </c>
      <c r="F33" s="56" t="s">
        <v>48</v>
      </c>
      <c r="G33" s="10">
        <f>E33+E34</f>
        <v>221</v>
      </c>
      <c r="H33" s="24"/>
      <c r="I33" s="58"/>
    </row>
    <row r="34" spans="1:9" x14ac:dyDescent="0.3">
      <c r="A34" s="49"/>
      <c r="B34" s="28" t="s">
        <v>126</v>
      </c>
      <c r="C34" s="10"/>
      <c r="D34" s="24"/>
      <c r="E34" s="49">
        <v>-39</v>
      </c>
      <c r="F34" s="56" t="s">
        <v>49</v>
      </c>
      <c r="G34" s="9">
        <f>-ROUND(G33*15%,0)</f>
        <v>-33</v>
      </c>
      <c r="H34" s="24">
        <f>SUM(G33:G34)</f>
        <v>188</v>
      </c>
      <c r="I34" s="58"/>
    </row>
    <row r="35" spans="1:9" x14ac:dyDescent="0.3">
      <c r="A35" s="49">
        <v>22627</v>
      </c>
      <c r="B35" s="56" t="s">
        <v>93</v>
      </c>
      <c r="C35" s="10">
        <f>A35+A36+A38</f>
        <v>26392</v>
      </c>
      <c r="D35" s="24"/>
      <c r="E35" s="49"/>
      <c r="F35" s="56"/>
      <c r="G35" s="10"/>
      <c r="H35" s="24"/>
      <c r="I35" s="58"/>
    </row>
    <row r="36" spans="1:9" x14ac:dyDescent="0.3">
      <c r="A36" s="49">
        <v>2160</v>
      </c>
      <c r="B36" s="56" t="s">
        <v>50</v>
      </c>
      <c r="C36" s="10">
        <f>18*10*12</f>
        <v>2160</v>
      </c>
      <c r="D36" s="24"/>
      <c r="E36" s="52"/>
      <c r="F36" s="28" t="s">
        <v>100</v>
      </c>
      <c r="G36" s="51"/>
      <c r="H36" s="52"/>
      <c r="I36" s="58"/>
    </row>
    <row r="37" spans="1:9" x14ac:dyDescent="0.3">
      <c r="A37" s="49">
        <v>0</v>
      </c>
      <c r="B37" s="56" t="s">
        <v>192</v>
      </c>
      <c r="C37" s="10">
        <v>1770</v>
      </c>
      <c r="D37" s="24"/>
      <c r="E37" s="52">
        <v>56255.600000000006</v>
      </c>
      <c r="F37" s="56" t="s">
        <v>48</v>
      </c>
      <c r="G37" s="51">
        <v>51855.6</v>
      </c>
      <c r="H37" s="52"/>
      <c r="I37" s="58"/>
    </row>
    <row r="38" spans="1:9" x14ac:dyDescent="0.3">
      <c r="A38" s="49">
        <v>1605</v>
      </c>
      <c r="B38" s="56" t="s">
        <v>52</v>
      </c>
      <c r="C38" s="9">
        <f>-IE!G25</f>
        <v>1686</v>
      </c>
      <c r="D38" s="24">
        <f>SUM(C35:C36)-C37+C38</f>
        <v>28468</v>
      </c>
      <c r="E38" s="52">
        <v>4366</v>
      </c>
      <c r="F38" s="56" t="s">
        <v>87</v>
      </c>
      <c r="G38" s="53">
        <v>18000</v>
      </c>
      <c r="H38" s="52"/>
      <c r="I38" s="58"/>
    </row>
    <row r="39" spans="1:9" x14ac:dyDescent="0.3">
      <c r="A39" s="49"/>
      <c r="B39" s="56"/>
      <c r="C39" s="10"/>
      <c r="D39" s="24"/>
      <c r="E39" s="52"/>
      <c r="F39" s="56"/>
      <c r="G39" s="51">
        <f>SUM(G37:G38)</f>
        <v>69855.600000000006</v>
      </c>
      <c r="H39" s="52"/>
      <c r="I39" s="58"/>
    </row>
    <row r="40" spans="1:9" x14ac:dyDescent="0.3">
      <c r="A40" s="49"/>
      <c r="B40" s="28" t="s">
        <v>94</v>
      </c>
      <c r="C40" s="10"/>
      <c r="D40" s="24"/>
      <c r="E40" s="52">
        <v>-8766</v>
      </c>
      <c r="F40" s="56" t="s">
        <v>49</v>
      </c>
      <c r="G40" s="65">
        <f>-ROUND((G37*15%)+(G38*15%)/2,0)</f>
        <v>-9128</v>
      </c>
      <c r="H40" s="24">
        <f>G39+G40</f>
        <v>60727.600000000006</v>
      </c>
      <c r="I40" s="58"/>
    </row>
    <row r="41" spans="1:9" x14ac:dyDescent="0.3">
      <c r="A41" s="24">
        <v>12040000</v>
      </c>
      <c r="B41" s="26" t="s">
        <v>56</v>
      </c>
      <c r="C41" s="10"/>
      <c r="D41" s="24">
        <v>12040000</v>
      </c>
      <c r="E41" s="52"/>
      <c r="F41" s="56"/>
      <c r="G41" s="51"/>
      <c r="H41" s="52"/>
      <c r="I41" s="58"/>
    </row>
    <row r="42" spans="1:9" x14ac:dyDescent="0.3">
      <c r="A42" s="49"/>
      <c r="B42" s="56"/>
      <c r="C42" s="10"/>
      <c r="D42" s="24"/>
      <c r="E42" s="49"/>
      <c r="F42" s="28" t="s">
        <v>101</v>
      </c>
      <c r="G42" s="10"/>
      <c r="H42" s="24"/>
      <c r="I42" s="58"/>
    </row>
    <row r="43" spans="1:9" x14ac:dyDescent="0.3">
      <c r="A43" s="49"/>
      <c r="B43" s="28" t="s">
        <v>121</v>
      </c>
      <c r="C43" s="10"/>
      <c r="D43" s="24"/>
      <c r="E43" s="49">
        <v>11466</v>
      </c>
      <c r="F43" s="56" t="s">
        <v>102</v>
      </c>
      <c r="G43" s="10">
        <f>E43+E44</f>
        <v>9746</v>
      </c>
      <c r="H43" s="24"/>
      <c r="I43" s="58"/>
    </row>
    <row r="44" spans="1:9" x14ac:dyDescent="0.3">
      <c r="A44" s="49">
        <v>2883</v>
      </c>
      <c r="B44" s="28" t="s">
        <v>162</v>
      </c>
      <c r="C44" s="10">
        <f>+'Sch II,III &amp; IV '!D14</f>
        <v>19581</v>
      </c>
      <c r="D44" s="24"/>
      <c r="E44" s="49">
        <v>-1720</v>
      </c>
      <c r="F44" s="56" t="s">
        <v>49</v>
      </c>
      <c r="G44" s="9">
        <f>-ROUND(G43*15%,0)</f>
        <v>-1462</v>
      </c>
      <c r="H44" s="24">
        <f>SUM(G43:G44)</f>
        <v>8284</v>
      </c>
      <c r="I44" s="58"/>
    </row>
    <row r="45" spans="1:9" x14ac:dyDescent="0.3">
      <c r="A45" s="49">
        <v>150105</v>
      </c>
      <c r="B45" s="56" t="s">
        <v>163</v>
      </c>
      <c r="C45" s="10">
        <f>'Sch II,III &amp; IV '!D29</f>
        <v>170430</v>
      </c>
      <c r="D45" s="24"/>
      <c r="E45" s="49"/>
      <c r="F45" s="56"/>
      <c r="G45" s="10"/>
      <c r="H45" s="24"/>
      <c r="I45" s="58"/>
    </row>
    <row r="46" spans="1:9" x14ac:dyDescent="0.3">
      <c r="A46" s="49">
        <v>45000</v>
      </c>
      <c r="B46" s="56" t="s">
        <v>72</v>
      </c>
      <c r="C46" s="9">
        <v>45000</v>
      </c>
      <c r="D46" s="24">
        <f>SUM(C44:C46)</f>
        <v>235011</v>
      </c>
      <c r="E46" s="49"/>
      <c r="F46" s="28" t="s">
        <v>120</v>
      </c>
      <c r="G46" s="10"/>
      <c r="H46" s="24"/>
      <c r="I46" s="58"/>
    </row>
    <row r="47" spans="1:9" x14ac:dyDescent="0.3">
      <c r="A47" s="49"/>
      <c r="B47" s="56"/>
      <c r="C47" s="10"/>
      <c r="D47" s="24"/>
      <c r="E47" s="49">
        <v>4049</v>
      </c>
      <c r="F47" s="56" t="s">
        <v>37</v>
      </c>
      <c r="G47" s="10">
        <v>9513</v>
      </c>
      <c r="H47" s="24"/>
      <c r="I47" s="58"/>
    </row>
    <row r="48" spans="1:9" x14ac:dyDescent="0.3">
      <c r="A48" s="49"/>
      <c r="B48" s="28" t="s">
        <v>119</v>
      </c>
      <c r="C48" s="10"/>
      <c r="D48" s="24"/>
      <c r="E48" s="49">
        <v>12447</v>
      </c>
      <c r="F48" s="56" t="s">
        <v>58</v>
      </c>
      <c r="G48" s="10">
        <v>13336</v>
      </c>
      <c r="H48" s="24"/>
      <c r="I48" s="58"/>
    </row>
    <row r="49" spans="1:10" x14ac:dyDescent="0.3">
      <c r="A49" s="49">
        <v>393447.05000000005</v>
      </c>
      <c r="B49" s="56" t="s">
        <v>93</v>
      </c>
      <c r="C49" s="10">
        <f>SUM(A49:A52)</f>
        <v>534393.30000000005</v>
      </c>
      <c r="D49" s="24"/>
      <c r="E49" s="49">
        <v>5442</v>
      </c>
      <c r="F49" s="56" t="s">
        <v>59</v>
      </c>
      <c r="G49" s="9">
        <v>5935</v>
      </c>
      <c r="H49" s="24">
        <f>SUM(G47:G49)</f>
        <v>28784</v>
      </c>
      <c r="I49" s="58"/>
    </row>
    <row r="50" spans="1:10" x14ac:dyDescent="0.3">
      <c r="A50" s="49">
        <v>5746</v>
      </c>
      <c r="B50" s="26" t="s">
        <v>169</v>
      </c>
      <c r="C50" s="10">
        <v>0</v>
      </c>
      <c r="D50" s="24"/>
      <c r="E50" s="49"/>
      <c r="F50" s="28"/>
      <c r="G50" s="10"/>
      <c r="H50" s="24"/>
      <c r="I50" s="58"/>
    </row>
    <row r="51" spans="1:10" x14ac:dyDescent="0.3">
      <c r="A51" s="49">
        <v>0</v>
      </c>
      <c r="B51" s="26" t="s">
        <v>199</v>
      </c>
      <c r="C51" s="10">
        <v>-4223</v>
      </c>
      <c r="D51" s="24"/>
      <c r="E51" s="49"/>
      <c r="F51" s="28"/>
      <c r="G51" s="10"/>
      <c r="H51" s="24"/>
      <c r="I51" s="58"/>
    </row>
    <row r="52" spans="1:10" x14ac:dyDescent="0.3">
      <c r="A52" s="49">
        <v>135200.25</v>
      </c>
      <c r="B52" s="56" t="s">
        <v>95</v>
      </c>
      <c r="C52" s="9">
        <f>IE!D48</f>
        <v>34302.300000000047</v>
      </c>
      <c r="D52" s="24">
        <f>SUM(C49:C52)</f>
        <v>564472.60000000009</v>
      </c>
      <c r="E52" s="49"/>
      <c r="F52" s="56"/>
      <c r="G52" s="10"/>
      <c r="H52" s="24"/>
      <c r="I52" s="58"/>
    </row>
    <row r="53" spans="1:10" ht="15" thickBot="1" x14ac:dyDescent="0.35">
      <c r="A53" s="62">
        <f>SUM(A11:A52)</f>
        <v>14615750.75</v>
      </c>
      <c r="B53" s="154" t="s">
        <v>12</v>
      </c>
      <c r="C53" s="155"/>
      <c r="D53" s="62">
        <f>SUM(D11:D52)</f>
        <v>14162950.15</v>
      </c>
      <c r="E53" s="62">
        <f>SUM(E8:E52)</f>
        <v>14615750.75</v>
      </c>
      <c r="F53" s="154" t="s">
        <v>12</v>
      </c>
      <c r="G53" s="155"/>
      <c r="H53" s="62">
        <f>SUM(H7:H52)</f>
        <v>14162950.15</v>
      </c>
      <c r="I53" s="58"/>
    </row>
    <row r="54" spans="1:10" ht="8.1" customHeight="1" thickTop="1" x14ac:dyDescent="0.3">
      <c r="A54" s="102"/>
      <c r="B54" s="120"/>
      <c r="C54" s="103"/>
      <c r="D54" s="125"/>
      <c r="E54" s="125"/>
      <c r="F54" s="104"/>
      <c r="G54"/>
      <c r="H54" s="105"/>
      <c r="I54" s="58"/>
    </row>
    <row r="55" spans="1:10" x14ac:dyDescent="0.3">
      <c r="A55" s="106" t="s">
        <v>19</v>
      </c>
      <c r="B55"/>
      <c r="C55"/>
      <c r="D55"/>
      <c r="E55" s="107"/>
      <c r="F55" s="108"/>
      <c r="G55"/>
      <c r="H55" s="105"/>
      <c r="I55" s="58"/>
    </row>
    <row r="56" spans="1:10" x14ac:dyDescent="0.3">
      <c r="A56" s="109"/>
      <c r="B56"/>
      <c r="C56"/>
      <c r="D56" s="121"/>
      <c r="E56" s="152" t="s">
        <v>210</v>
      </c>
      <c r="F56" s="152"/>
      <c r="G56" s="152"/>
      <c r="H56" s="117"/>
      <c r="I56" s="58">
        <f>H53-D53</f>
        <v>0</v>
      </c>
    </row>
    <row r="57" spans="1:10" x14ac:dyDescent="0.3">
      <c r="A57" s="109"/>
      <c r="B57"/>
      <c r="C57"/>
      <c r="D57" s="121"/>
      <c r="E57" s="121"/>
      <c r="F57"/>
      <c r="G57" s="110"/>
      <c r="H57" s="105"/>
      <c r="I57" s="58"/>
    </row>
    <row r="58" spans="1:10" customFormat="1" ht="10.199999999999999" customHeight="1" x14ac:dyDescent="0.3">
      <c r="A58" s="109"/>
      <c r="D58" s="121"/>
      <c r="E58" s="121"/>
      <c r="G58" s="110"/>
      <c r="H58" s="105"/>
    </row>
    <row r="59" spans="1:10" customFormat="1" x14ac:dyDescent="0.3">
      <c r="A59" s="109"/>
      <c r="D59" s="121"/>
      <c r="E59" s="121"/>
      <c r="F59" s="90"/>
      <c r="G59" s="110"/>
      <c r="H59" s="105"/>
    </row>
    <row r="60" spans="1:10" customFormat="1" ht="15.6" x14ac:dyDescent="0.3">
      <c r="A60" s="111" t="s">
        <v>205</v>
      </c>
      <c r="B60" s="122"/>
      <c r="C60" s="123"/>
      <c r="D60" s="121"/>
      <c r="E60" s="121"/>
      <c r="G60" s="110"/>
      <c r="H60" s="105"/>
      <c r="I60" s="119"/>
      <c r="J60" s="119"/>
    </row>
    <row r="61" spans="1:10" customFormat="1" ht="9.9" customHeight="1" x14ac:dyDescent="0.3">
      <c r="A61" s="112" t="s">
        <v>206</v>
      </c>
      <c r="B61" s="122"/>
      <c r="C61" s="123"/>
      <c r="D61" s="121"/>
      <c r="E61" s="121"/>
      <c r="G61" s="110"/>
      <c r="H61" s="105"/>
      <c r="I61" s="119"/>
      <c r="J61" s="119"/>
    </row>
    <row r="62" spans="1:10" customFormat="1" ht="15.6" x14ac:dyDescent="0.3">
      <c r="A62" s="112" t="s">
        <v>207</v>
      </c>
      <c r="B62" s="122"/>
      <c r="C62" s="123"/>
      <c r="D62" s="121"/>
      <c r="E62" s="153" t="s">
        <v>208</v>
      </c>
      <c r="F62" s="153"/>
      <c r="G62" s="153"/>
      <c r="H62" s="118"/>
      <c r="I62" s="119"/>
      <c r="J62" s="119"/>
    </row>
    <row r="63" spans="1:10" customFormat="1" ht="15.6" x14ac:dyDescent="0.3">
      <c r="A63" s="150">
        <v>46256</v>
      </c>
      <c r="B63" s="151"/>
      <c r="C63" s="151"/>
      <c r="D63" s="113"/>
      <c r="E63" s="114"/>
      <c r="F63" s="115"/>
      <c r="G63" s="116"/>
      <c r="H63" s="124"/>
      <c r="I63" s="119"/>
      <c r="J63" s="119"/>
    </row>
    <row r="64" spans="1:10" customFormat="1" ht="15.9" customHeight="1" x14ac:dyDescent="0.3">
      <c r="A64" s="1"/>
      <c r="B64" s="1"/>
      <c r="C64" s="1"/>
      <c r="D64" s="3"/>
      <c r="E64" s="1"/>
      <c r="F64" s="1"/>
      <c r="G64" s="1"/>
      <c r="H64" s="3"/>
      <c r="I64" s="119"/>
      <c r="J64" s="119"/>
    </row>
    <row r="65" spans="1:10" customFormat="1" ht="15.9" customHeight="1" x14ac:dyDescent="0.3">
      <c r="A65" s="1"/>
      <c r="B65" s="1"/>
      <c r="C65" s="1"/>
      <c r="D65" s="3"/>
      <c r="E65" s="1"/>
      <c r="F65" s="1"/>
      <c r="G65" s="1"/>
      <c r="H65" s="3"/>
      <c r="I65" s="119"/>
      <c r="J65" s="119"/>
    </row>
    <row r="66" spans="1:10" customFormat="1" ht="15.9" customHeight="1" x14ac:dyDescent="0.3">
      <c r="A66" s="1"/>
      <c r="B66" s="1"/>
      <c r="C66" s="1"/>
      <c r="D66" s="3"/>
      <c r="E66" s="1"/>
      <c r="F66" s="1"/>
      <c r="G66" s="1"/>
      <c r="H66" s="3"/>
      <c r="I66" s="119"/>
      <c r="J66" s="119"/>
    </row>
    <row r="67" spans="1:10" customFormat="1" ht="15.9" customHeight="1" x14ac:dyDescent="0.3">
      <c r="A67" s="1"/>
      <c r="B67" s="1"/>
      <c r="C67" s="1"/>
      <c r="D67" s="3"/>
      <c r="E67" s="1"/>
      <c r="F67" s="1"/>
      <c r="G67" s="1"/>
      <c r="H67" s="3"/>
    </row>
  </sheetData>
  <mergeCells count="11">
    <mergeCell ref="A1:H1"/>
    <mergeCell ref="A3:H3"/>
    <mergeCell ref="A4:H4"/>
    <mergeCell ref="B6:C6"/>
    <mergeCell ref="F6:G6"/>
    <mergeCell ref="A2:H2"/>
    <mergeCell ref="A63:C63"/>
    <mergeCell ref="E56:G56"/>
    <mergeCell ref="E62:G62"/>
    <mergeCell ref="F53:G53"/>
    <mergeCell ref="B53:C53"/>
  </mergeCells>
  <printOptions horizontalCentered="1"/>
  <pageMargins left="0.23622047244094491" right="0.23622047244094491" top="0.39370078740157483" bottom="0.19685039370078741" header="0.31496062992125984" footer="0.19685039370078741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tabSelected="1" view="pageBreakPreview" topLeftCell="A6" zoomScaleNormal="102" zoomScaleSheetLayoutView="100" workbookViewId="0">
      <selection activeCell="A63" sqref="A63:C63"/>
    </sheetView>
  </sheetViews>
  <sheetFormatPr defaultColWidth="8.88671875" defaultRowHeight="14.4" x14ac:dyDescent="0.3"/>
  <cols>
    <col min="1" max="1" width="14.6640625" style="58" customWidth="1"/>
    <col min="2" max="2" width="39.33203125" style="58" bestFit="1" customWidth="1"/>
    <col min="3" max="3" width="14.6640625" style="58" customWidth="1"/>
    <col min="4" max="4" width="14.6640625" style="60" customWidth="1"/>
    <col min="5" max="5" width="14.6640625" style="58" customWidth="1"/>
    <col min="6" max="6" width="36.5546875" style="58" bestFit="1" customWidth="1"/>
    <col min="7" max="7" width="14.6640625" style="58" customWidth="1"/>
    <col min="8" max="8" width="14.6640625" style="60" customWidth="1"/>
    <col min="9" max="9" width="13.33203125" style="58" bestFit="1" customWidth="1"/>
    <col min="10" max="11" width="12.33203125" style="58" bestFit="1" customWidth="1"/>
    <col min="12" max="16384" width="8.88671875" style="58"/>
  </cols>
  <sheetData>
    <row r="1" spans="1:8" ht="21" x14ac:dyDescent="0.3">
      <c r="A1" s="168" t="str">
        <f>BS!A1</f>
        <v>FAIR FIELD CO-OPERATIVE HOUSING SOCIETY LTD.</v>
      </c>
      <c r="B1" s="169"/>
      <c r="C1" s="169"/>
      <c r="D1" s="169"/>
      <c r="E1" s="169"/>
      <c r="F1" s="169"/>
      <c r="G1" s="169"/>
      <c r="H1" s="170"/>
    </row>
    <row r="2" spans="1:8" x14ac:dyDescent="0.3">
      <c r="A2" s="165" t="s">
        <v>88</v>
      </c>
      <c r="B2" s="166"/>
      <c r="C2" s="166"/>
      <c r="D2" s="166"/>
      <c r="E2" s="166"/>
      <c r="F2" s="166"/>
      <c r="G2" s="166"/>
      <c r="H2" s="167"/>
    </row>
    <row r="3" spans="1:8" x14ac:dyDescent="0.3">
      <c r="A3" s="165" t="str">
        <f>BS!A3</f>
        <v>68, Marve Road, Orlem, Malad (West), Mumbai, Maharshtra - 400064</v>
      </c>
      <c r="B3" s="166"/>
      <c r="C3" s="166"/>
      <c r="D3" s="166"/>
      <c r="E3" s="166"/>
      <c r="F3" s="166"/>
      <c r="G3" s="166"/>
      <c r="H3" s="167"/>
    </row>
    <row r="4" spans="1:8" ht="18" x14ac:dyDescent="0.3">
      <c r="A4" s="162" t="s">
        <v>191</v>
      </c>
      <c r="B4" s="163"/>
      <c r="C4" s="163"/>
      <c r="D4" s="163"/>
      <c r="E4" s="163"/>
      <c r="F4" s="163"/>
      <c r="G4" s="163"/>
      <c r="H4" s="164"/>
    </row>
    <row r="5" spans="1:8" ht="11.1" customHeight="1" x14ac:dyDescent="0.3">
      <c r="A5" s="99"/>
      <c r="B5" s="100"/>
      <c r="C5" s="100"/>
      <c r="D5" s="100"/>
      <c r="E5" s="100"/>
      <c r="F5" s="100"/>
      <c r="G5" s="100"/>
      <c r="H5" s="101" t="str">
        <f>BS!H5</f>
        <v>(Amt. in Rs.)</v>
      </c>
    </row>
    <row r="6" spans="1:8" s="59" customFormat="1" ht="15" thickBot="1" x14ac:dyDescent="0.35">
      <c r="A6" s="48">
        <f>BS!A6</f>
        <v>45747</v>
      </c>
      <c r="B6" s="171" t="s">
        <v>21</v>
      </c>
      <c r="C6" s="171"/>
      <c r="D6" s="48">
        <f>BS!D6</f>
        <v>46112</v>
      </c>
      <c r="E6" s="48">
        <f>A6</f>
        <v>45747</v>
      </c>
      <c r="F6" s="171" t="s">
        <v>22</v>
      </c>
      <c r="G6" s="171"/>
      <c r="H6" s="48">
        <f>D6</f>
        <v>46112</v>
      </c>
    </row>
    <row r="7" spans="1:8" ht="19.5" customHeight="1" thickTop="1" x14ac:dyDescent="0.3">
      <c r="A7" s="49"/>
      <c r="B7" s="28"/>
      <c r="C7" s="10"/>
      <c r="D7" s="24"/>
      <c r="E7" s="49"/>
      <c r="F7" s="28" t="s">
        <v>107</v>
      </c>
      <c r="G7" s="10"/>
      <c r="H7" s="24"/>
    </row>
    <row r="8" spans="1:8" x14ac:dyDescent="0.3">
      <c r="A8" s="24">
        <v>167292</v>
      </c>
      <c r="B8" s="55" t="s">
        <v>34</v>
      </c>
      <c r="C8" s="10"/>
      <c r="D8" s="24">
        <v>212060</v>
      </c>
      <c r="E8" s="49">
        <v>167292</v>
      </c>
      <c r="F8" s="26" t="s">
        <v>34</v>
      </c>
      <c r="G8" s="10">
        <f>197156+15300</f>
        <v>212456</v>
      </c>
      <c r="H8" s="24"/>
    </row>
    <row r="9" spans="1:8" x14ac:dyDescent="0.3">
      <c r="A9" s="24"/>
      <c r="B9" s="26"/>
      <c r="C9" s="10"/>
      <c r="D9" s="24"/>
      <c r="E9" s="49">
        <v>614736</v>
      </c>
      <c r="F9" s="26" t="s">
        <v>61</v>
      </c>
      <c r="G9" s="10">
        <v>614736</v>
      </c>
      <c r="H9" s="24"/>
    </row>
    <row r="10" spans="1:8" x14ac:dyDescent="0.3">
      <c r="A10" s="24">
        <v>103730</v>
      </c>
      <c r="B10" s="25" t="s">
        <v>109</v>
      </c>
      <c r="C10" s="10"/>
      <c r="D10" s="24">
        <v>108540</v>
      </c>
      <c r="E10" s="49">
        <v>70416</v>
      </c>
      <c r="F10" s="26" t="s">
        <v>62</v>
      </c>
      <c r="G10" s="10">
        <v>70416</v>
      </c>
      <c r="H10" s="24"/>
    </row>
    <row r="11" spans="1:8" x14ac:dyDescent="0.3">
      <c r="A11" s="24"/>
      <c r="B11" s="26"/>
      <c r="C11" s="10"/>
      <c r="D11" s="24"/>
      <c r="E11" s="49">
        <v>19050</v>
      </c>
      <c r="F11" s="26" t="s">
        <v>36</v>
      </c>
      <c r="G11" s="10">
        <f>3100+41800+4800+2850</f>
        <v>52550</v>
      </c>
      <c r="H11" s="24"/>
    </row>
    <row r="12" spans="1:8" x14ac:dyDescent="0.3">
      <c r="A12" s="24">
        <v>6927</v>
      </c>
      <c r="B12" s="55" t="s">
        <v>26</v>
      </c>
      <c r="C12" s="10"/>
      <c r="D12" s="24">
        <v>10838</v>
      </c>
      <c r="E12" s="49">
        <v>6996</v>
      </c>
      <c r="F12" s="26" t="s">
        <v>37</v>
      </c>
      <c r="G12" s="10">
        <v>6996</v>
      </c>
      <c r="H12" s="24"/>
    </row>
    <row r="13" spans="1:8" x14ac:dyDescent="0.3">
      <c r="A13" s="49"/>
      <c r="B13" s="28" t="s">
        <v>108</v>
      </c>
      <c r="C13" s="10"/>
      <c r="D13" s="24"/>
      <c r="E13" s="49">
        <v>2837</v>
      </c>
      <c r="F13" s="26" t="s">
        <v>63</v>
      </c>
      <c r="G13" s="10">
        <v>1986</v>
      </c>
      <c r="H13" s="24"/>
    </row>
    <row r="14" spans="1:8" x14ac:dyDescent="0.3">
      <c r="A14" s="49">
        <v>26642</v>
      </c>
      <c r="B14" s="26" t="s">
        <v>23</v>
      </c>
      <c r="C14" s="10">
        <v>27154</v>
      </c>
      <c r="D14" s="24"/>
      <c r="E14" s="49">
        <v>28080</v>
      </c>
      <c r="F14" s="26" t="s">
        <v>35</v>
      </c>
      <c r="G14" s="10">
        <v>28080</v>
      </c>
      <c r="H14" s="24"/>
    </row>
    <row r="15" spans="1:8" x14ac:dyDescent="0.3">
      <c r="A15" s="49">
        <v>3200</v>
      </c>
      <c r="B15" s="26" t="s">
        <v>66</v>
      </c>
      <c r="C15" s="10">
        <v>3500</v>
      </c>
      <c r="E15" s="49">
        <v>3170</v>
      </c>
      <c r="F15" s="26" t="s">
        <v>64</v>
      </c>
      <c r="G15" s="10">
        <f>2219+1585</f>
        <v>3804</v>
      </c>
      <c r="H15" s="24"/>
    </row>
    <row r="16" spans="1:8" x14ac:dyDescent="0.3">
      <c r="A16" s="49">
        <v>0</v>
      </c>
      <c r="B16" s="26" t="s">
        <v>187</v>
      </c>
      <c r="C16" s="9">
        <v>10475</v>
      </c>
      <c r="D16" s="43">
        <f>C14+C15+C16</f>
        <v>41129</v>
      </c>
      <c r="E16" s="49">
        <v>0</v>
      </c>
      <c r="F16" s="26" t="s">
        <v>185</v>
      </c>
      <c r="G16" s="10">
        <v>21000</v>
      </c>
      <c r="H16" s="24"/>
    </row>
    <row r="17" spans="1:8" x14ac:dyDescent="0.3">
      <c r="A17" s="49"/>
      <c r="B17" s="28" t="s">
        <v>110</v>
      </c>
      <c r="C17" s="10"/>
      <c r="D17" s="24"/>
      <c r="E17" s="49">
        <v>17000</v>
      </c>
      <c r="F17" s="26" t="s">
        <v>136</v>
      </c>
      <c r="G17" s="9">
        <v>0</v>
      </c>
      <c r="H17" s="24">
        <f>SUM(G8:G17)</f>
        <v>1012024</v>
      </c>
    </row>
    <row r="18" spans="1:8" x14ac:dyDescent="0.3">
      <c r="A18" s="49">
        <v>16486</v>
      </c>
      <c r="B18" s="26" t="s">
        <v>149</v>
      </c>
      <c r="C18" s="10">
        <v>16811</v>
      </c>
      <c r="D18" s="24"/>
      <c r="E18" s="49"/>
      <c r="F18" s="26"/>
      <c r="G18" s="10"/>
      <c r="H18" s="24"/>
    </row>
    <row r="19" spans="1:8" x14ac:dyDescent="0.3">
      <c r="A19" s="49">
        <v>18880</v>
      </c>
      <c r="B19" s="26" t="s">
        <v>150</v>
      </c>
      <c r="C19" s="10">
        <v>0</v>
      </c>
      <c r="D19" s="24"/>
      <c r="E19" s="49"/>
      <c r="F19" s="28" t="s">
        <v>106</v>
      </c>
      <c r="G19" s="10"/>
      <c r="H19" s="24"/>
    </row>
    <row r="20" spans="1:8" x14ac:dyDescent="0.3">
      <c r="A20" s="49">
        <v>14458</v>
      </c>
      <c r="B20" s="26" t="s">
        <v>151</v>
      </c>
      <c r="C20" s="10">
        <v>16000</v>
      </c>
      <c r="D20" s="24"/>
      <c r="E20" s="24">
        <v>16907</v>
      </c>
      <c r="F20" s="56" t="s">
        <v>38</v>
      </c>
      <c r="G20" s="10"/>
      <c r="H20" s="24">
        <v>12449</v>
      </c>
    </row>
    <row r="21" spans="1:8" x14ac:dyDescent="0.3">
      <c r="A21" s="49">
        <v>6515</v>
      </c>
      <c r="B21" s="26" t="s">
        <v>152</v>
      </c>
      <c r="C21" s="10">
        <v>2085</v>
      </c>
      <c r="D21" s="24"/>
      <c r="E21" s="49">
        <v>120019</v>
      </c>
      <c r="F21" s="28" t="s">
        <v>159</v>
      </c>
      <c r="G21" s="10">
        <v>100295</v>
      </c>
      <c r="H21" s="24"/>
    </row>
    <row r="22" spans="1:8" x14ac:dyDescent="0.3">
      <c r="A22" s="49">
        <v>67846</v>
      </c>
      <c r="B22" s="26" t="s">
        <v>153</v>
      </c>
      <c r="C22" s="10">
        <v>26129</v>
      </c>
      <c r="D22" s="24"/>
      <c r="E22" s="49">
        <v>-47691</v>
      </c>
      <c r="F22" s="26" t="s">
        <v>39</v>
      </c>
      <c r="G22" s="10">
        <f>-60269+1</f>
        <v>-60268</v>
      </c>
      <c r="H22" s="24"/>
    </row>
    <row r="23" spans="1:8" x14ac:dyDescent="0.3">
      <c r="A23" s="49">
        <v>4870</v>
      </c>
      <c r="B23" s="26" t="s">
        <v>154</v>
      </c>
      <c r="C23" s="10">
        <v>21604.880000000001</v>
      </c>
      <c r="D23" s="24"/>
      <c r="E23" s="49">
        <v>-35348</v>
      </c>
      <c r="F23" s="26" t="s">
        <v>40</v>
      </c>
      <c r="G23" s="10">
        <f>-956+2</f>
        <v>-954</v>
      </c>
      <c r="H23" s="24"/>
    </row>
    <row r="24" spans="1:8" x14ac:dyDescent="0.3">
      <c r="A24" s="49">
        <v>6903</v>
      </c>
      <c r="B24" s="26" t="s">
        <v>155</v>
      </c>
      <c r="C24" s="10">
        <v>6903</v>
      </c>
      <c r="D24" s="24"/>
      <c r="E24" s="49">
        <v>-20826</v>
      </c>
      <c r="F24" s="26" t="s">
        <v>41</v>
      </c>
      <c r="G24" s="10">
        <v>-22293</v>
      </c>
      <c r="H24" s="24"/>
    </row>
    <row r="25" spans="1:8" x14ac:dyDescent="0.3">
      <c r="A25" s="49">
        <v>2600</v>
      </c>
      <c r="B25" s="26" t="s">
        <v>156</v>
      </c>
      <c r="C25" s="9">
        <v>0</v>
      </c>
      <c r="D25" s="24">
        <f>SUM(C18:C25)</f>
        <v>89532.88</v>
      </c>
      <c r="E25" s="49">
        <v>-1605</v>
      </c>
      <c r="F25" s="26" t="s">
        <v>157</v>
      </c>
      <c r="G25" s="10">
        <v>-1686</v>
      </c>
      <c r="H25" s="24"/>
    </row>
    <row r="26" spans="1:8" x14ac:dyDescent="0.3">
      <c r="A26" s="49"/>
      <c r="B26" s="28" t="s">
        <v>104</v>
      </c>
      <c r="C26" s="10"/>
      <c r="D26" s="24"/>
      <c r="E26" s="49">
        <v>-13942</v>
      </c>
      <c r="F26" s="56" t="s">
        <v>158</v>
      </c>
      <c r="G26" s="9">
        <v>-14486</v>
      </c>
      <c r="H26" s="24">
        <f>SUM(G21:G26)</f>
        <v>608</v>
      </c>
    </row>
    <row r="27" spans="1:8" x14ac:dyDescent="0.3">
      <c r="A27" s="49">
        <v>245886</v>
      </c>
      <c r="B27" s="26" t="s">
        <v>24</v>
      </c>
      <c r="C27" s="10">
        <v>264213</v>
      </c>
      <c r="D27" s="24"/>
      <c r="E27" s="49"/>
      <c r="F27" s="26"/>
      <c r="G27" s="10"/>
      <c r="H27" s="24"/>
    </row>
    <row r="28" spans="1:8" x14ac:dyDescent="0.3">
      <c r="A28" s="49">
        <v>18625</v>
      </c>
      <c r="B28" s="26" t="s">
        <v>25</v>
      </c>
      <c r="C28" s="10">
        <v>16250</v>
      </c>
      <c r="D28" s="24"/>
      <c r="E28" s="49"/>
      <c r="F28" s="28" t="s">
        <v>105</v>
      </c>
      <c r="G28" s="10"/>
      <c r="H28" s="24"/>
    </row>
    <row r="29" spans="1:8" x14ac:dyDescent="0.3">
      <c r="A29" s="49">
        <v>826</v>
      </c>
      <c r="B29" s="26" t="s">
        <v>32</v>
      </c>
      <c r="C29" s="10">
        <v>826</v>
      </c>
      <c r="D29" s="24"/>
      <c r="E29" s="49">
        <v>0</v>
      </c>
      <c r="F29" s="26" t="s">
        <v>186</v>
      </c>
      <c r="G29" s="9">
        <v>12400</v>
      </c>
      <c r="H29" s="24">
        <f>SUM(G29)</f>
        <v>12400</v>
      </c>
    </row>
    <row r="30" spans="1:8" x14ac:dyDescent="0.3">
      <c r="A30" s="49">
        <v>2000</v>
      </c>
      <c r="B30" s="26" t="s">
        <v>27</v>
      </c>
      <c r="C30" s="10">
        <v>3800</v>
      </c>
      <c r="D30" s="24"/>
      <c r="E30" s="49"/>
      <c r="F30" s="26"/>
      <c r="G30" s="10"/>
      <c r="H30" s="43"/>
    </row>
    <row r="31" spans="1:8" x14ac:dyDescent="0.3">
      <c r="A31" s="49">
        <v>2249</v>
      </c>
      <c r="B31" s="26" t="s">
        <v>137</v>
      </c>
      <c r="C31" s="10">
        <v>2188</v>
      </c>
      <c r="D31" s="24"/>
      <c r="E31" s="49"/>
      <c r="F31" s="55"/>
      <c r="H31" s="24"/>
    </row>
    <row r="32" spans="1:8" x14ac:dyDescent="0.3">
      <c r="A32" s="49">
        <v>11448</v>
      </c>
      <c r="B32" s="26" t="s">
        <v>28</v>
      </c>
      <c r="C32" s="10">
        <v>12592</v>
      </c>
      <c r="D32" s="24"/>
      <c r="E32" s="49"/>
      <c r="G32" s="10"/>
      <c r="H32" s="24"/>
    </row>
    <row r="33" spans="1:8" x14ac:dyDescent="0.3">
      <c r="A33" s="49">
        <v>8199</v>
      </c>
      <c r="B33" s="26" t="s">
        <v>69</v>
      </c>
      <c r="C33" s="10">
        <v>8107</v>
      </c>
      <c r="D33" s="24"/>
      <c r="E33" s="49"/>
      <c r="F33" s="26"/>
      <c r="G33" s="10"/>
      <c r="H33" s="24"/>
    </row>
    <row r="34" spans="1:8" x14ac:dyDescent="0.3">
      <c r="A34" s="49">
        <v>95</v>
      </c>
      <c r="B34" s="26" t="s">
        <v>29</v>
      </c>
      <c r="C34" s="10">
        <v>1577</v>
      </c>
      <c r="D34" s="24"/>
      <c r="E34" s="49"/>
      <c r="F34" s="26"/>
      <c r="G34" s="10"/>
      <c r="H34" s="24"/>
    </row>
    <row r="35" spans="1:8" x14ac:dyDescent="0.3">
      <c r="A35" s="49">
        <v>18500</v>
      </c>
      <c r="B35" s="26" t="s">
        <v>30</v>
      </c>
      <c r="C35" s="10">
        <v>0</v>
      </c>
      <c r="D35" s="24"/>
      <c r="E35" s="49"/>
      <c r="F35" s="26"/>
      <c r="G35" s="10"/>
      <c r="H35" s="24"/>
    </row>
    <row r="36" spans="1:8" x14ac:dyDescent="0.3">
      <c r="A36" s="49">
        <v>752</v>
      </c>
      <c r="B36" s="26" t="s">
        <v>31</v>
      </c>
      <c r="C36" s="10">
        <v>1075.72</v>
      </c>
      <c r="D36" s="24"/>
      <c r="E36" s="49"/>
      <c r="F36" s="26"/>
      <c r="G36" s="10"/>
      <c r="H36" s="24"/>
    </row>
    <row r="37" spans="1:8" x14ac:dyDescent="0.3">
      <c r="A37" s="49">
        <v>1180</v>
      </c>
      <c r="B37" s="26" t="s">
        <v>116</v>
      </c>
      <c r="C37" s="10">
        <v>0</v>
      </c>
      <c r="D37" s="24"/>
      <c r="E37" s="49"/>
      <c r="F37" s="26"/>
      <c r="G37" s="10"/>
      <c r="H37" s="24"/>
    </row>
    <row r="38" spans="1:8" x14ac:dyDescent="0.3">
      <c r="A38" s="49">
        <v>0</v>
      </c>
      <c r="B38" s="26" t="s">
        <v>196</v>
      </c>
      <c r="C38" s="10">
        <v>5200</v>
      </c>
      <c r="D38" s="24"/>
      <c r="E38" s="49"/>
      <c r="F38" s="26"/>
      <c r="G38" s="10"/>
      <c r="H38" s="24"/>
    </row>
    <row r="39" spans="1:8" x14ac:dyDescent="0.3">
      <c r="A39" s="49">
        <v>10715</v>
      </c>
      <c r="B39" s="26" t="s">
        <v>112</v>
      </c>
      <c r="C39" s="10">
        <v>10794</v>
      </c>
      <c r="D39" s="24"/>
      <c r="E39" s="49"/>
      <c r="F39" s="26"/>
      <c r="G39" s="10"/>
      <c r="H39" s="24"/>
    </row>
    <row r="40" spans="1:8" x14ac:dyDescent="0.3">
      <c r="A40" s="49">
        <v>0</v>
      </c>
      <c r="B40" s="26" t="s">
        <v>117</v>
      </c>
      <c r="C40" s="10">
        <v>400</v>
      </c>
      <c r="D40" s="24"/>
      <c r="E40" s="49"/>
      <c r="F40" s="26"/>
      <c r="G40" s="10"/>
      <c r="H40" s="24"/>
    </row>
    <row r="41" spans="1:8" x14ac:dyDescent="0.3">
      <c r="A41" s="49">
        <v>0</v>
      </c>
      <c r="B41" s="26" t="s">
        <v>197</v>
      </c>
      <c r="C41" s="10">
        <v>350</v>
      </c>
      <c r="D41" s="24"/>
      <c r="E41" s="49"/>
      <c r="F41" s="26"/>
      <c r="G41" s="10"/>
      <c r="H41" s="24"/>
    </row>
    <row r="42" spans="1:8" x14ac:dyDescent="0.3">
      <c r="A42" s="49">
        <v>0</v>
      </c>
      <c r="B42" s="26" t="s">
        <v>189</v>
      </c>
      <c r="C42" s="10">
        <v>2872</v>
      </c>
      <c r="D42" s="43"/>
      <c r="E42" s="49"/>
      <c r="F42" s="26"/>
      <c r="G42" s="10"/>
      <c r="H42" s="24"/>
    </row>
    <row r="43" spans="1:8" x14ac:dyDescent="0.3">
      <c r="A43" s="49">
        <v>0</v>
      </c>
      <c r="B43" s="26" t="s">
        <v>190</v>
      </c>
      <c r="C43" s="10">
        <v>199400</v>
      </c>
      <c r="D43" s="43"/>
      <c r="E43" s="49"/>
      <c r="F43" s="26"/>
      <c r="G43" s="10"/>
      <c r="H43" s="24"/>
    </row>
    <row r="44" spans="1:8" x14ac:dyDescent="0.3">
      <c r="A44" s="49">
        <v>0</v>
      </c>
      <c r="B44" s="26" t="s">
        <v>188</v>
      </c>
      <c r="C44" s="10">
        <v>891306</v>
      </c>
      <c r="D44" s="43"/>
      <c r="E44" s="49"/>
      <c r="F44" s="26"/>
      <c r="G44" s="10"/>
      <c r="H44" s="24"/>
    </row>
    <row r="45" spans="1:8" x14ac:dyDescent="0.3">
      <c r="A45" s="49">
        <v>0</v>
      </c>
      <c r="B45" s="26" t="s">
        <v>198</v>
      </c>
      <c r="C45" s="9">
        <v>-891306</v>
      </c>
      <c r="D45" s="43">
        <f>SUM(C27:C45)</f>
        <v>529644.72</v>
      </c>
      <c r="E45" s="49"/>
      <c r="F45" s="26"/>
      <c r="G45" s="10"/>
      <c r="H45" s="24"/>
    </row>
    <row r="46" spans="1:8" x14ac:dyDescent="0.3">
      <c r="A46" s="49"/>
      <c r="B46" s="28" t="s">
        <v>111</v>
      </c>
      <c r="C46" s="10"/>
      <c r="D46" s="43"/>
      <c r="E46" s="49"/>
      <c r="F46" s="26"/>
      <c r="G46" s="10"/>
      <c r="H46" s="24"/>
    </row>
    <row r="47" spans="1:8" x14ac:dyDescent="0.3">
      <c r="A47" s="49">
        <v>45066.75</v>
      </c>
      <c r="B47" s="26" t="s">
        <v>166</v>
      </c>
      <c r="C47" s="10"/>
      <c r="D47" s="60">
        <f>(H49-SUM(D8:D45))*0.25</f>
        <v>11434.100000000006</v>
      </c>
      <c r="E47" s="49"/>
      <c r="F47" s="26"/>
      <c r="G47" s="10"/>
      <c r="H47" s="24"/>
    </row>
    <row r="48" spans="1:8" x14ac:dyDescent="0.3">
      <c r="A48" s="61">
        <v>135200.25</v>
      </c>
      <c r="B48" s="26" t="s">
        <v>33</v>
      </c>
      <c r="C48" s="9"/>
      <c r="D48" s="43">
        <f>H49-SUM(D7:D47)</f>
        <v>34302.300000000047</v>
      </c>
      <c r="E48" s="49"/>
      <c r="F48" s="26"/>
      <c r="G48" s="10"/>
      <c r="H48" s="24"/>
    </row>
    <row r="49" spans="1:10" ht="15" thickBot="1" x14ac:dyDescent="0.35">
      <c r="A49" s="62">
        <f>SUM(A7:A48)</f>
        <v>947091</v>
      </c>
      <c r="B49" s="154" t="s">
        <v>12</v>
      </c>
      <c r="C49" s="155"/>
      <c r="D49" s="62">
        <f>SUM(D7:D48)</f>
        <v>1037481</v>
      </c>
      <c r="E49" s="62">
        <f>SUM(E7:E48)</f>
        <v>947091</v>
      </c>
      <c r="F49" s="154" t="s">
        <v>12</v>
      </c>
      <c r="G49" s="155"/>
      <c r="H49" s="62">
        <f>SUM(H7:H48)</f>
        <v>1037481</v>
      </c>
    </row>
    <row r="50" spans="1:10" ht="8.1" customHeight="1" thickTop="1" x14ac:dyDescent="0.3">
      <c r="A50" s="102"/>
      <c r="B50" s="120"/>
      <c r="C50" s="103"/>
      <c r="D50" s="125"/>
      <c r="E50" s="125"/>
      <c r="F50" s="104"/>
      <c r="G50"/>
      <c r="H50" s="105"/>
    </row>
    <row r="51" spans="1:10" x14ac:dyDescent="0.3">
      <c r="A51" s="106" t="s">
        <v>19</v>
      </c>
      <c r="B51"/>
      <c r="C51"/>
      <c r="D51"/>
      <c r="E51" s="107"/>
      <c r="F51" s="108"/>
      <c r="G51"/>
      <c r="H51" s="105"/>
    </row>
    <row r="52" spans="1:10" x14ac:dyDescent="0.3">
      <c r="A52" s="109"/>
      <c r="B52"/>
      <c r="C52"/>
      <c r="D52" s="121"/>
      <c r="E52" s="152" t="s">
        <v>210</v>
      </c>
      <c r="F52" s="152"/>
      <c r="G52" s="152"/>
      <c r="H52" s="117"/>
    </row>
    <row r="53" spans="1:10" x14ac:dyDescent="0.3">
      <c r="A53" s="109"/>
      <c r="B53"/>
      <c r="C53"/>
      <c r="D53" s="121"/>
      <c r="E53" s="121"/>
      <c r="F53"/>
      <c r="G53" s="110"/>
      <c r="H53" s="105"/>
    </row>
    <row r="54" spans="1:10" customFormat="1" ht="10.199999999999999" customHeight="1" x14ac:dyDescent="0.3">
      <c r="A54" s="109"/>
      <c r="D54" s="121"/>
      <c r="E54" s="121"/>
      <c r="G54" s="110"/>
      <c r="H54" s="105"/>
    </row>
    <row r="55" spans="1:10" customFormat="1" x14ac:dyDescent="0.3">
      <c r="A55" s="109"/>
      <c r="D55" s="121"/>
      <c r="E55" s="121"/>
      <c r="F55" s="90"/>
      <c r="G55" s="110"/>
      <c r="H55" s="105"/>
    </row>
    <row r="56" spans="1:10" customFormat="1" ht="15.6" x14ac:dyDescent="0.3">
      <c r="A56" s="111" t="s">
        <v>205</v>
      </c>
      <c r="B56" s="122"/>
      <c r="C56" s="123"/>
      <c r="D56" s="121"/>
      <c r="E56" s="121"/>
      <c r="G56" s="110"/>
      <c r="H56" s="105"/>
      <c r="I56" s="119"/>
      <c r="J56" s="119"/>
    </row>
    <row r="57" spans="1:10" customFormat="1" ht="9.9" customHeight="1" x14ac:dyDescent="0.3">
      <c r="A57" s="112" t="s">
        <v>206</v>
      </c>
      <c r="B57" s="122"/>
      <c r="C57" s="123"/>
      <c r="D57" s="121"/>
      <c r="E57" s="121"/>
      <c r="G57" s="110"/>
      <c r="H57" s="105"/>
      <c r="I57" s="119"/>
      <c r="J57" s="119"/>
    </row>
    <row r="58" spans="1:10" customFormat="1" ht="15.6" x14ac:dyDescent="0.3">
      <c r="A58" s="112" t="s">
        <v>207</v>
      </c>
      <c r="B58" s="122"/>
      <c r="C58" s="123"/>
      <c r="D58" s="121"/>
      <c r="E58" s="153" t="s">
        <v>208</v>
      </c>
      <c r="F58" s="153"/>
      <c r="G58" s="153"/>
      <c r="H58" s="118"/>
      <c r="I58" s="119"/>
      <c r="J58" s="119"/>
    </row>
    <row r="59" spans="1:10" customFormat="1" ht="15.6" x14ac:dyDescent="0.3">
      <c r="A59" s="150">
        <v>46256</v>
      </c>
      <c r="B59" s="151"/>
      <c r="C59" s="151"/>
      <c r="D59" s="113"/>
      <c r="E59" s="114"/>
      <c r="F59" s="115"/>
      <c r="G59" s="116"/>
      <c r="H59" s="124"/>
      <c r="I59" s="119"/>
      <c r="J59" s="119"/>
    </row>
    <row r="60" spans="1:10" customFormat="1" ht="15.9" customHeight="1" x14ac:dyDescent="0.3">
      <c r="A60" s="58"/>
      <c r="B60" s="58"/>
      <c r="C60" s="58"/>
      <c r="D60" s="60"/>
      <c r="E60" s="58"/>
      <c r="F60" s="58"/>
      <c r="G60" s="58"/>
      <c r="H60" s="60"/>
      <c r="I60" s="119"/>
      <c r="J60" s="119"/>
    </row>
    <row r="61" spans="1:10" customFormat="1" ht="15.9" customHeight="1" x14ac:dyDescent="0.3">
      <c r="A61" s="58"/>
      <c r="B61" s="58"/>
      <c r="C61" s="58"/>
      <c r="D61" s="60"/>
      <c r="E61" s="58"/>
      <c r="F61" s="58"/>
      <c r="G61" s="58"/>
      <c r="H61" s="60"/>
      <c r="I61" s="119"/>
      <c r="J61" s="119"/>
    </row>
    <row r="62" spans="1:10" customFormat="1" ht="15.9" customHeight="1" x14ac:dyDescent="0.3">
      <c r="A62" s="58"/>
      <c r="B62" s="58"/>
      <c r="C62" s="58"/>
      <c r="D62" s="60"/>
      <c r="E62" s="58"/>
      <c r="F62" s="58"/>
      <c r="G62" s="58"/>
      <c r="H62" s="60"/>
      <c r="I62" s="119"/>
      <c r="J62" s="119"/>
    </row>
    <row r="63" spans="1:10" customFormat="1" ht="15.9" customHeight="1" x14ac:dyDescent="0.3">
      <c r="A63" s="58"/>
      <c r="B63" s="58"/>
      <c r="C63" s="58"/>
      <c r="D63" s="60"/>
      <c r="E63" s="58"/>
      <c r="F63" s="58"/>
      <c r="G63" s="58"/>
      <c r="H63" s="60"/>
    </row>
  </sheetData>
  <mergeCells count="11">
    <mergeCell ref="A2:H2"/>
    <mergeCell ref="A1:H1"/>
    <mergeCell ref="A3:H3"/>
    <mergeCell ref="A4:H4"/>
    <mergeCell ref="B6:C6"/>
    <mergeCell ref="F6:G6"/>
    <mergeCell ref="E52:G52"/>
    <mergeCell ref="E58:G58"/>
    <mergeCell ref="A59:C59"/>
    <mergeCell ref="B49:C49"/>
    <mergeCell ref="F49:G49"/>
  </mergeCells>
  <printOptions horizontalCentered="1"/>
  <pageMargins left="0.23622047244094491" right="0.23622047244094491" top="0.39370078740157483" bottom="0.19685039370078741" header="0.19685039370078741" footer="0.19685039370078741"/>
  <pageSetup paperSize="9"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view="pageBreakPreview" topLeftCell="A11" zoomScaleNormal="100" zoomScaleSheetLayoutView="100" workbookViewId="0">
      <selection activeCell="A63" sqref="A63:C63"/>
    </sheetView>
  </sheetViews>
  <sheetFormatPr defaultColWidth="12" defaultRowHeight="14.4" x14ac:dyDescent="0.3"/>
  <cols>
    <col min="1" max="1" width="26.33203125" style="85" bestFit="1" customWidth="1"/>
    <col min="2" max="2" width="10.109375" style="85" bestFit="1" customWidth="1"/>
    <col min="3" max="3" width="12.5546875" style="40" bestFit="1" customWidth="1"/>
    <col min="4" max="4" width="10" style="41" customWidth="1"/>
    <col min="5" max="5" width="12.5546875" style="41" bestFit="1" customWidth="1"/>
    <col min="6" max="6" width="11" style="41" bestFit="1" customWidth="1"/>
    <col min="7" max="7" width="12.5546875" style="41" bestFit="1" customWidth="1"/>
    <col min="8" max="8" width="8" style="41" customWidth="1"/>
    <col min="9" max="9" width="5" style="50" customWidth="1"/>
    <col min="10" max="10" width="1.6640625" customWidth="1"/>
    <col min="12" max="12" width="15.44140625" bestFit="1" customWidth="1"/>
  </cols>
  <sheetData>
    <row r="1" spans="1:13" ht="18" x14ac:dyDescent="0.35">
      <c r="A1" s="172" t="str">
        <f>BS!A1</f>
        <v>FAIR FIELD CO-OPERATIVE HOUSING SOCIETY LTD.</v>
      </c>
      <c r="B1" s="173"/>
      <c r="C1" s="173"/>
      <c r="D1" s="173"/>
      <c r="E1" s="173"/>
      <c r="F1" s="173"/>
      <c r="G1" s="173"/>
      <c r="H1" s="173"/>
      <c r="I1" s="174"/>
    </row>
    <row r="2" spans="1:13" x14ac:dyDescent="0.3">
      <c r="A2" s="126"/>
      <c r="B2" s="46"/>
      <c r="C2" s="46"/>
      <c r="D2" s="46"/>
      <c r="E2" s="46"/>
      <c r="F2" s="46"/>
      <c r="G2" s="46"/>
      <c r="H2" s="46"/>
      <c r="I2" s="127"/>
    </row>
    <row r="3" spans="1:13" ht="15.6" x14ac:dyDescent="0.3">
      <c r="A3" s="128" t="s">
        <v>194</v>
      </c>
      <c r="B3" s="129"/>
      <c r="C3" s="129"/>
      <c r="D3" s="129"/>
      <c r="E3" s="129"/>
      <c r="F3" s="129"/>
      <c r="G3" s="129"/>
      <c r="H3" s="129"/>
      <c r="I3" s="130"/>
    </row>
    <row r="4" spans="1:13" x14ac:dyDescent="0.3">
      <c r="A4" s="131"/>
      <c r="B4" s="132"/>
      <c r="C4" s="132"/>
      <c r="D4" s="132"/>
      <c r="E4" s="132"/>
      <c r="F4" s="132"/>
      <c r="G4" s="132"/>
      <c r="H4" s="175" t="s">
        <v>89</v>
      </c>
      <c r="I4" s="176"/>
    </row>
    <row r="5" spans="1:13" s="84" customFormat="1" ht="29.4" thickBot="1" x14ac:dyDescent="0.35">
      <c r="A5" s="83" t="s">
        <v>5</v>
      </c>
      <c r="B5" s="83" t="s">
        <v>10</v>
      </c>
      <c r="C5" s="42" t="s">
        <v>11</v>
      </c>
      <c r="D5" s="42" t="s">
        <v>170</v>
      </c>
      <c r="E5" s="42" t="s">
        <v>42</v>
      </c>
      <c r="F5" s="42" t="s">
        <v>7</v>
      </c>
      <c r="G5" s="42" t="s">
        <v>9</v>
      </c>
      <c r="H5" s="83" t="s">
        <v>13</v>
      </c>
      <c r="I5" s="83" t="s">
        <v>6</v>
      </c>
    </row>
    <row r="6" spans="1:13" ht="15" thickTop="1" x14ac:dyDescent="0.3">
      <c r="A6" s="94" t="s">
        <v>4</v>
      </c>
      <c r="C6" s="29"/>
      <c r="D6" s="30"/>
      <c r="E6" s="30"/>
      <c r="F6" s="30"/>
      <c r="G6" s="30"/>
      <c r="H6" s="30"/>
      <c r="I6" s="86"/>
      <c r="L6" s="85"/>
    </row>
    <row r="7" spans="1:13" x14ac:dyDescent="0.3">
      <c r="A7" s="95" t="s">
        <v>138</v>
      </c>
      <c r="B7" s="96" t="s">
        <v>168</v>
      </c>
      <c r="C7" s="44">
        <v>13661</v>
      </c>
      <c r="D7" s="45">
        <f>702-70</f>
        <v>632</v>
      </c>
      <c r="E7" s="27">
        <f>SUM(C7:D7)</f>
        <v>14293</v>
      </c>
      <c r="F7" s="45" t="s">
        <v>203</v>
      </c>
      <c r="G7" s="45">
        <v>14583</v>
      </c>
      <c r="H7" s="47">
        <v>6.6000000000000003E-2</v>
      </c>
      <c r="I7" s="87" t="s">
        <v>43</v>
      </c>
      <c r="L7" s="85"/>
      <c r="M7" s="90"/>
    </row>
    <row r="8" spans="1:13" ht="15" thickBot="1" x14ac:dyDescent="0.35">
      <c r="A8" s="179"/>
      <c r="B8" s="180"/>
      <c r="C8" s="33">
        <f>SUM(C7:C7)</f>
        <v>13661</v>
      </c>
      <c r="D8" s="33">
        <f>SUM(D7:D7)</f>
        <v>632</v>
      </c>
      <c r="E8" s="33">
        <f>SUM(E7:E7)</f>
        <v>14293</v>
      </c>
      <c r="F8" s="33"/>
      <c r="G8" s="33">
        <f>SUM(G7:G7)</f>
        <v>14583</v>
      </c>
      <c r="H8" s="34"/>
      <c r="I8" s="88"/>
      <c r="L8" s="85"/>
      <c r="M8" s="90"/>
    </row>
    <row r="9" spans="1:13" ht="15" thickTop="1" x14ac:dyDescent="0.3">
      <c r="A9" s="97"/>
      <c r="C9" s="29"/>
      <c r="D9" s="30"/>
      <c r="E9" s="30"/>
      <c r="F9" s="30"/>
      <c r="G9" s="30"/>
      <c r="H9" s="30"/>
      <c r="I9" s="86"/>
      <c r="L9" s="85"/>
      <c r="M9" s="90"/>
    </row>
    <row r="10" spans="1:13" x14ac:dyDescent="0.3">
      <c r="A10" s="94" t="s">
        <v>54</v>
      </c>
      <c r="C10" s="29"/>
      <c r="D10" s="30"/>
      <c r="E10" s="30"/>
      <c r="F10" s="30"/>
      <c r="G10" s="30"/>
      <c r="H10" s="30"/>
      <c r="I10" s="86"/>
      <c r="L10" s="90"/>
      <c r="M10" s="90"/>
    </row>
    <row r="11" spans="1:13" x14ac:dyDescent="0.3">
      <c r="A11" s="98" t="s">
        <v>171</v>
      </c>
      <c r="B11" s="98" t="s">
        <v>167</v>
      </c>
      <c r="C11" s="31">
        <v>269800</v>
      </c>
      <c r="D11" s="27">
        <f>10108-1010</f>
        <v>9098</v>
      </c>
      <c r="E11" s="27">
        <f>SUM(C11:D11)</f>
        <v>278898</v>
      </c>
      <c r="F11" s="27" t="s">
        <v>202</v>
      </c>
      <c r="G11" s="27">
        <v>290175</v>
      </c>
      <c r="H11" s="32">
        <v>6.8000000000000005E-2</v>
      </c>
      <c r="I11" s="87" t="s">
        <v>43</v>
      </c>
      <c r="L11" s="90"/>
      <c r="M11" s="90"/>
    </row>
    <row r="12" spans="1:13" x14ac:dyDescent="0.3">
      <c r="A12" s="98" t="s">
        <v>140</v>
      </c>
      <c r="B12" s="98" t="s">
        <v>168</v>
      </c>
      <c r="C12" s="31">
        <v>52542</v>
      </c>
      <c r="D12" s="45">
        <f>2698-270</f>
        <v>2428</v>
      </c>
      <c r="E12" s="27">
        <f>SUM(C12:D12)</f>
        <v>54970</v>
      </c>
      <c r="F12" s="45" t="s">
        <v>203</v>
      </c>
      <c r="G12" s="45">
        <v>56088</v>
      </c>
      <c r="H12" s="47">
        <v>6.6000000000000003E-2</v>
      </c>
      <c r="I12" s="87" t="s">
        <v>43</v>
      </c>
      <c r="L12" s="90"/>
      <c r="M12" s="90"/>
    </row>
    <row r="13" spans="1:13" ht="15" thickBot="1" x14ac:dyDescent="0.35">
      <c r="A13" s="179"/>
      <c r="B13" s="180"/>
      <c r="C13" s="33">
        <f>SUM(C11:C12)</f>
        <v>322342</v>
      </c>
      <c r="D13" s="33">
        <f>SUM(D11:D12)</f>
        <v>11526</v>
      </c>
      <c r="E13" s="33">
        <f t="shared" ref="E13" si="0">SUM(E11:E12)</f>
        <v>333868</v>
      </c>
      <c r="F13" s="33"/>
      <c r="G13" s="33">
        <f>SUM(G11:G12)</f>
        <v>346263</v>
      </c>
      <c r="H13" s="33"/>
      <c r="I13" s="88"/>
      <c r="L13" s="90"/>
      <c r="M13" s="90"/>
    </row>
    <row r="14" spans="1:13" ht="15" thickTop="1" x14ac:dyDescent="0.3">
      <c r="A14" s="97"/>
      <c r="C14" s="29"/>
      <c r="D14" s="30"/>
      <c r="E14" s="30"/>
      <c r="F14" s="30"/>
      <c r="G14" s="30"/>
      <c r="H14" s="30"/>
      <c r="I14" s="86"/>
      <c r="L14" s="90"/>
      <c r="M14" s="90"/>
    </row>
    <row r="15" spans="1:13" x14ac:dyDescent="0.3">
      <c r="A15" s="94" t="s">
        <v>55</v>
      </c>
      <c r="C15" s="29"/>
      <c r="D15" s="30"/>
      <c r="E15" s="30"/>
      <c r="F15" s="30"/>
      <c r="G15" s="30"/>
      <c r="H15" s="30"/>
      <c r="I15" s="86"/>
      <c r="L15" s="90"/>
      <c r="M15" s="90"/>
    </row>
    <row r="16" spans="1:13" x14ac:dyDescent="0.3">
      <c r="A16" s="98" t="s">
        <v>172</v>
      </c>
      <c r="B16" s="98" t="s">
        <v>167</v>
      </c>
      <c r="C16" s="31">
        <v>208951</v>
      </c>
      <c r="D16" s="27">
        <f>7828-783</f>
        <v>7045</v>
      </c>
      <c r="E16" s="27">
        <f>SUM(C16:D16)</f>
        <v>215996</v>
      </c>
      <c r="F16" s="27" t="s">
        <v>202</v>
      </c>
      <c r="G16" s="27">
        <v>224731</v>
      </c>
      <c r="H16" s="32">
        <v>6.8000000000000005E-2</v>
      </c>
      <c r="I16" s="87" t="s">
        <v>43</v>
      </c>
      <c r="L16" s="90"/>
      <c r="M16" s="90"/>
    </row>
    <row r="17" spans="1:13" ht="15" thickBot="1" x14ac:dyDescent="0.35">
      <c r="A17" s="179"/>
      <c r="B17" s="180"/>
      <c r="C17" s="33">
        <f t="shared" ref="C17:E17" si="1">SUM(C16)</f>
        <v>208951</v>
      </c>
      <c r="D17" s="33">
        <f>SUM(D15:D16)</f>
        <v>7045</v>
      </c>
      <c r="E17" s="33">
        <f t="shared" si="1"/>
        <v>215996</v>
      </c>
      <c r="F17" s="33"/>
      <c r="G17" s="33">
        <f>SUM(G16)</f>
        <v>224731</v>
      </c>
      <c r="H17" s="34"/>
      <c r="I17" s="88"/>
      <c r="L17" s="90"/>
      <c r="M17" s="90"/>
    </row>
    <row r="18" spans="1:13" ht="15" thickTop="1" x14ac:dyDescent="0.3">
      <c r="A18" s="97"/>
      <c r="C18" s="29"/>
      <c r="D18" s="30"/>
      <c r="E18" s="30"/>
      <c r="F18" s="30"/>
      <c r="G18" s="30"/>
      <c r="H18" s="30"/>
      <c r="I18" s="86"/>
      <c r="M18" s="90"/>
    </row>
    <row r="19" spans="1:13" x14ac:dyDescent="0.3">
      <c r="A19" s="94" t="s">
        <v>14</v>
      </c>
      <c r="C19" s="29"/>
      <c r="D19" s="30"/>
      <c r="E19" s="30"/>
      <c r="F19" s="30"/>
      <c r="G19" s="30"/>
      <c r="H19" s="30"/>
      <c r="I19" s="86"/>
      <c r="M19" s="90"/>
    </row>
    <row r="20" spans="1:13" x14ac:dyDescent="0.3">
      <c r="A20" s="98" t="s">
        <v>76</v>
      </c>
      <c r="B20" s="98" t="s">
        <v>44</v>
      </c>
      <c r="C20" s="31">
        <v>9000</v>
      </c>
      <c r="D20" s="27">
        <v>0</v>
      </c>
      <c r="E20" s="27">
        <f>SUM(C20:D20)</f>
        <v>9000</v>
      </c>
      <c r="F20" s="27" t="s">
        <v>115</v>
      </c>
      <c r="G20" s="27">
        <v>9000</v>
      </c>
      <c r="H20" s="32">
        <v>6.7500000000000004E-2</v>
      </c>
      <c r="I20" s="87" t="s">
        <v>43</v>
      </c>
      <c r="M20" s="90"/>
    </row>
    <row r="21" spans="1:13" ht="15" thickBot="1" x14ac:dyDescent="0.35">
      <c r="A21" s="179"/>
      <c r="B21" s="180"/>
      <c r="C21" s="33">
        <f>SUM(C20)</f>
        <v>9000</v>
      </c>
      <c r="D21" s="33">
        <f>SUM(D19:D20)</f>
        <v>0</v>
      </c>
      <c r="E21" s="33">
        <f>SUM(E20)</f>
        <v>9000</v>
      </c>
      <c r="F21" s="33"/>
      <c r="G21" s="33">
        <f>SUM(G20)</f>
        <v>9000</v>
      </c>
      <c r="H21" s="34"/>
      <c r="I21" s="88"/>
      <c r="M21" s="90"/>
    </row>
    <row r="22" spans="1:13" ht="15" thickTop="1" x14ac:dyDescent="0.3">
      <c r="A22" s="97"/>
      <c r="C22" s="29"/>
      <c r="D22" s="30"/>
      <c r="E22" s="30"/>
      <c r="F22" s="30"/>
      <c r="G22" s="30"/>
      <c r="H22" s="30"/>
      <c r="I22" s="86"/>
      <c r="M22" s="90"/>
    </row>
    <row r="23" spans="1:13" x14ac:dyDescent="0.3">
      <c r="A23" s="94" t="s">
        <v>113</v>
      </c>
      <c r="C23" s="29"/>
      <c r="D23" s="30"/>
      <c r="E23" s="30"/>
      <c r="F23" s="30"/>
      <c r="G23" s="30"/>
      <c r="H23" s="30"/>
      <c r="I23" s="86"/>
      <c r="M23" s="90"/>
    </row>
    <row r="24" spans="1:13" x14ac:dyDescent="0.3">
      <c r="A24" s="98" t="s">
        <v>173</v>
      </c>
      <c r="B24" s="98" t="s">
        <v>167</v>
      </c>
      <c r="C24" s="31">
        <v>45920</v>
      </c>
      <c r="D24" s="27">
        <f>1720-172</f>
        <v>1548</v>
      </c>
      <c r="E24" s="27">
        <f>SUM(C24:D24)</f>
        <v>47468</v>
      </c>
      <c r="F24" s="27" t="s">
        <v>202</v>
      </c>
      <c r="G24" s="27">
        <v>49388</v>
      </c>
      <c r="H24" s="32">
        <v>6.8000000000000005E-2</v>
      </c>
      <c r="I24" s="89" t="s">
        <v>43</v>
      </c>
      <c r="M24" s="90"/>
    </row>
    <row r="25" spans="1:13" x14ac:dyDescent="0.3">
      <c r="A25" s="98" t="s">
        <v>139</v>
      </c>
      <c r="B25" s="96" t="s">
        <v>174</v>
      </c>
      <c r="C25" s="44">
        <v>801296</v>
      </c>
      <c r="D25" s="45">
        <f>45572-4679</f>
        <v>40893</v>
      </c>
      <c r="E25" s="27">
        <f>SUM(C25:D25)</f>
        <v>842189</v>
      </c>
      <c r="F25" s="27" t="s">
        <v>204</v>
      </c>
      <c r="G25" s="27">
        <v>858712</v>
      </c>
      <c r="H25" s="32">
        <v>7.0000000000000007E-2</v>
      </c>
      <c r="I25" s="89" t="s">
        <v>43</v>
      </c>
      <c r="M25" s="90"/>
    </row>
    <row r="26" spans="1:13" ht="15" thickBot="1" x14ac:dyDescent="0.35">
      <c r="A26" s="179"/>
      <c r="B26" s="180"/>
      <c r="C26" s="33">
        <f>SUM(C24:C25)</f>
        <v>847216</v>
      </c>
      <c r="D26" s="33">
        <f>SUM(D24:D25)</f>
        <v>42441</v>
      </c>
      <c r="E26" s="33">
        <f>SUM(E24:E25)</f>
        <v>889657</v>
      </c>
      <c r="F26" s="33"/>
      <c r="G26" s="33">
        <f>SUM(G24:G25)</f>
        <v>908100</v>
      </c>
      <c r="H26" s="34"/>
      <c r="I26" s="88"/>
      <c r="L26" s="90"/>
      <c r="M26" s="90"/>
    </row>
    <row r="27" spans="1:13" ht="15" thickTop="1" x14ac:dyDescent="0.3">
      <c r="A27" s="97"/>
      <c r="C27" s="29"/>
      <c r="D27" s="30"/>
      <c r="E27" s="30"/>
      <c r="F27" s="30"/>
      <c r="G27" s="30"/>
      <c r="H27" s="30"/>
      <c r="I27" s="86"/>
      <c r="M27" s="90"/>
    </row>
    <row r="28" spans="1:13" x14ac:dyDescent="0.3">
      <c r="A28" s="94" t="s">
        <v>114</v>
      </c>
      <c r="C28" s="29"/>
      <c r="D28" s="30"/>
      <c r="E28" s="30"/>
      <c r="F28" s="30"/>
      <c r="G28" s="30"/>
      <c r="H28" s="30"/>
      <c r="I28" s="86"/>
      <c r="L28" s="90"/>
      <c r="M28" s="90"/>
    </row>
    <row r="29" spans="1:13" x14ac:dyDescent="0.3">
      <c r="A29" s="98" t="s">
        <v>175</v>
      </c>
      <c r="B29" s="98" t="s">
        <v>167</v>
      </c>
      <c r="C29" s="31">
        <v>22961</v>
      </c>
      <c r="D29" s="27">
        <f>860-86</f>
        <v>774</v>
      </c>
      <c r="E29" s="27">
        <f>SUM(C29:D29)</f>
        <v>23735</v>
      </c>
      <c r="F29" s="27" t="s">
        <v>202</v>
      </c>
      <c r="G29" s="27">
        <v>24695</v>
      </c>
      <c r="H29" s="32">
        <v>6.8000000000000005E-2</v>
      </c>
      <c r="I29" s="89" t="s">
        <v>43</v>
      </c>
      <c r="M29" s="90"/>
    </row>
    <row r="30" spans="1:13" x14ac:dyDescent="0.3">
      <c r="A30" s="98" t="s">
        <v>176</v>
      </c>
      <c r="B30" s="98" t="s">
        <v>168</v>
      </c>
      <c r="C30" s="31">
        <v>1365</v>
      </c>
      <c r="D30" s="27">
        <f>70-6</f>
        <v>64</v>
      </c>
      <c r="E30" s="27">
        <f>SUM(C30:D30)</f>
        <v>1429</v>
      </c>
      <c r="F30" s="27" t="s">
        <v>203</v>
      </c>
      <c r="G30" s="27">
        <v>1457</v>
      </c>
      <c r="H30" s="32">
        <v>6.6000000000000003E-2</v>
      </c>
      <c r="I30" s="89" t="s">
        <v>43</v>
      </c>
      <c r="M30" s="90"/>
    </row>
    <row r="31" spans="1:13" ht="15" thickBot="1" x14ac:dyDescent="0.35">
      <c r="A31" s="179"/>
      <c r="B31" s="180"/>
      <c r="C31" s="33">
        <f>SUM(C29:C30)</f>
        <v>24326</v>
      </c>
      <c r="D31" s="33">
        <f>SUM(D29:D30)</f>
        <v>838</v>
      </c>
      <c r="E31" s="33">
        <f t="shared" ref="E31" si="2">SUM(E29:E30)</f>
        <v>25164</v>
      </c>
      <c r="F31" s="33"/>
      <c r="G31" s="33">
        <f>SUM(G29:G30)</f>
        <v>26152</v>
      </c>
      <c r="H31" s="34"/>
      <c r="I31" s="88"/>
      <c r="L31" s="90"/>
      <c r="M31" s="90"/>
    </row>
    <row r="32" spans="1:13" ht="15" thickTop="1" x14ac:dyDescent="0.3">
      <c r="A32" s="97"/>
      <c r="C32" s="29"/>
      <c r="D32" s="30"/>
      <c r="E32" s="30"/>
      <c r="F32" s="30"/>
      <c r="G32" s="30"/>
      <c r="H32" s="30"/>
      <c r="I32" s="86"/>
      <c r="M32" s="90"/>
    </row>
    <row r="33" spans="1:13" ht="15" thickBot="1" x14ac:dyDescent="0.35">
      <c r="A33" s="177" t="s">
        <v>45</v>
      </c>
      <c r="B33" s="178"/>
      <c r="C33" s="33">
        <f>C8+C13+C17+C21+C26+C31</f>
        <v>1425496</v>
      </c>
      <c r="D33" s="33">
        <f>D8+D13+D17+D21+D26+D31</f>
        <v>62482</v>
      </c>
      <c r="E33" s="33">
        <f>E8+E13+E17+E21+E26+E31</f>
        <v>1487978</v>
      </c>
      <c r="F33" s="36"/>
      <c r="G33" s="33">
        <f>G8+G13+G17+G21+G26+G31</f>
        <v>1528829</v>
      </c>
      <c r="H33" s="35"/>
      <c r="I33" s="37"/>
      <c r="M33" s="90"/>
    </row>
    <row r="34" spans="1:13" ht="15" thickTop="1" x14ac:dyDescent="0.3">
      <c r="A34" s="91"/>
      <c r="B34" s="92"/>
      <c r="C34" s="38"/>
      <c r="D34" s="39"/>
      <c r="E34" s="39"/>
      <c r="F34" s="39"/>
      <c r="G34" s="39"/>
      <c r="H34" s="39"/>
      <c r="I34" s="93"/>
      <c r="M34" s="90"/>
    </row>
  </sheetData>
  <mergeCells count="9">
    <mergeCell ref="A1:I1"/>
    <mergeCell ref="H4:I4"/>
    <mergeCell ref="A33:B33"/>
    <mergeCell ref="A21:B21"/>
    <mergeCell ref="A8:B8"/>
    <mergeCell ref="A13:B13"/>
    <mergeCell ref="A17:B17"/>
    <mergeCell ref="A26:B26"/>
    <mergeCell ref="A31:B31"/>
  </mergeCells>
  <printOptions horizontalCentered="1"/>
  <pageMargins left="0.23622047244094491" right="0.19685039370078741" top="0.59055118110236227" bottom="0.19685039370078741" header="0.19685039370078741" footer="0.19685039370078741"/>
  <pageSetup paperSize="9" scale="9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tabSelected="1" view="pageBreakPreview" topLeftCell="A13" zoomScaleNormal="100" zoomScaleSheetLayoutView="100" workbookViewId="0">
      <selection activeCell="A63" sqref="A63:C63"/>
    </sheetView>
  </sheetViews>
  <sheetFormatPr defaultRowHeight="14.4" x14ac:dyDescent="0.3"/>
  <cols>
    <col min="1" max="1" width="5.5546875" customWidth="1"/>
    <col min="2" max="2" width="10.33203125" bestFit="1" customWidth="1"/>
    <col min="3" max="3" width="49.33203125" bestFit="1" customWidth="1"/>
    <col min="4" max="4" width="14.6640625" style="67" customWidth="1"/>
    <col min="5" max="5" width="3.88671875" customWidth="1"/>
    <col min="7" max="7" width="8" bestFit="1" customWidth="1"/>
    <col min="8" max="8" width="50.44140625" customWidth="1"/>
    <col min="9" max="9" width="7.44140625" bestFit="1" customWidth="1"/>
    <col min="13" max="13" width="8.44140625" customWidth="1"/>
  </cols>
  <sheetData>
    <row r="1" spans="1:9" ht="17.399999999999999" x14ac:dyDescent="0.3">
      <c r="A1" s="183" t="str">
        <f>BS!A1</f>
        <v>FAIR FIELD CO-OPERATIVE HOUSING SOCIETY LTD.</v>
      </c>
      <c r="B1" s="183"/>
      <c r="C1" s="183"/>
      <c r="D1" s="183"/>
      <c r="E1" s="63"/>
    </row>
    <row r="3" spans="1:9" s="68" customFormat="1" ht="18.45" customHeight="1" x14ac:dyDescent="0.3">
      <c r="B3" s="190" t="s">
        <v>180</v>
      </c>
      <c r="C3" s="190"/>
      <c r="D3" s="190"/>
      <c r="G3" s="181"/>
      <c r="H3" s="181"/>
      <c r="I3" s="181"/>
    </row>
    <row r="4" spans="1:9" s="68" customFormat="1" ht="18.45" customHeight="1" thickBot="1" x14ac:dyDescent="0.35">
      <c r="B4" s="143" t="s">
        <v>133</v>
      </c>
      <c r="C4" s="143" t="s">
        <v>134</v>
      </c>
      <c r="D4" s="144" t="s">
        <v>130</v>
      </c>
      <c r="G4" s="69"/>
      <c r="H4" s="69"/>
      <c r="I4" s="70"/>
    </row>
    <row r="5" spans="1:9" s="68" customFormat="1" ht="18.45" customHeight="1" x14ac:dyDescent="0.3">
      <c r="B5" s="140">
        <v>303</v>
      </c>
      <c r="C5" s="141" t="s">
        <v>135</v>
      </c>
      <c r="D5" s="142">
        <v>9826</v>
      </c>
      <c r="G5" s="74"/>
      <c r="I5" s="75"/>
    </row>
    <row r="6" spans="1:9" s="68" customFormat="1" ht="18.45" customHeight="1" x14ac:dyDescent="0.3">
      <c r="B6" s="71">
        <v>401</v>
      </c>
      <c r="C6" s="72" t="s">
        <v>181</v>
      </c>
      <c r="D6" s="73">
        <v>725</v>
      </c>
      <c r="G6" s="74"/>
      <c r="I6" s="75"/>
    </row>
    <row r="7" spans="1:9" s="68" customFormat="1" ht="18.45" customHeight="1" thickBot="1" x14ac:dyDescent="0.35">
      <c r="B7" s="184" t="s">
        <v>12</v>
      </c>
      <c r="C7" s="185"/>
      <c r="D7" s="148">
        <f>SUM(D5:D6)</f>
        <v>10551</v>
      </c>
      <c r="G7" s="74"/>
      <c r="I7" s="75"/>
    </row>
    <row r="8" spans="1:9" s="68" customFormat="1" ht="18.45" customHeight="1" thickTop="1" x14ac:dyDescent="0.3">
      <c r="D8" s="76"/>
      <c r="G8" s="152"/>
      <c r="H8" s="152"/>
      <c r="I8" s="77"/>
    </row>
    <row r="9" spans="1:9" s="68" customFormat="1" ht="18.45" customHeight="1" x14ac:dyDescent="0.3">
      <c r="B9" s="187" t="s">
        <v>178</v>
      </c>
      <c r="C9" s="188"/>
      <c r="D9" s="189"/>
    </row>
    <row r="10" spans="1:9" s="68" customFormat="1" ht="18.45" customHeight="1" thickBot="1" x14ac:dyDescent="0.35">
      <c r="B10" s="147" t="s">
        <v>133</v>
      </c>
      <c r="C10" s="147" t="s">
        <v>134</v>
      </c>
      <c r="D10" s="144" t="s">
        <v>130</v>
      </c>
    </row>
    <row r="11" spans="1:9" s="68" customFormat="1" ht="18.45" customHeight="1" x14ac:dyDescent="0.3">
      <c r="B11" s="140">
        <v>301</v>
      </c>
      <c r="C11" s="145" t="s">
        <v>182</v>
      </c>
      <c r="D11" s="146">
        <v>408</v>
      </c>
    </row>
    <row r="12" spans="1:9" s="68" customFormat="1" ht="18.45" customHeight="1" x14ac:dyDescent="0.3">
      <c r="B12" s="71">
        <v>501</v>
      </c>
      <c r="C12" s="78" t="s">
        <v>183</v>
      </c>
      <c r="D12" s="79">
        <v>6373</v>
      </c>
    </row>
    <row r="13" spans="1:9" s="68" customFormat="1" ht="18.45" customHeight="1" x14ac:dyDescent="0.3">
      <c r="B13" s="71">
        <v>601</v>
      </c>
      <c r="C13" s="78" t="s">
        <v>86</v>
      </c>
      <c r="D13" s="79">
        <v>12800</v>
      </c>
    </row>
    <row r="14" spans="1:9" s="68" customFormat="1" ht="18.45" customHeight="1" thickBot="1" x14ac:dyDescent="0.35">
      <c r="B14" s="186" t="s">
        <v>12</v>
      </c>
      <c r="C14" s="186"/>
      <c r="D14" s="148">
        <f>SUM(D11:D13)</f>
        <v>19581</v>
      </c>
    </row>
    <row r="15" spans="1:9" s="68" customFormat="1" ht="18.45" customHeight="1" thickTop="1" x14ac:dyDescent="0.3">
      <c r="D15" s="76"/>
    </row>
    <row r="16" spans="1:9" s="68" customFormat="1" ht="18.45" customHeight="1" x14ac:dyDescent="0.3">
      <c r="D16" s="76"/>
    </row>
    <row r="17" spans="1:8" s="68" customFormat="1" ht="18.45" customHeight="1" x14ac:dyDescent="0.3">
      <c r="A17" s="182" t="s">
        <v>179</v>
      </c>
      <c r="B17" s="182"/>
      <c r="C17" s="182"/>
      <c r="D17" s="182"/>
    </row>
    <row r="18" spans="1:8" ht="15.9" customHeight="1" thickBot="1" x14ac:dyDescent="0.35">
      <c r="A18" s="143" t="s">
        <v>128</v>
      </c>
      <c r="B18" s="143" t="s">
        <v>145</v>
      </c>
      <c r="C18" s="143" t="s">
        <v>129</v>
      </c>
      <c r="D18" s="144" t="s">
        <v>184</v>
      </c>
    </row>
    <row r="19" spans="1:8" ht="15.9" customHeight="1" x14ac:dyDescent="0.3">
      <c r="A19" s="140">
        <v>1</v>
      </c>
      <c r="B19" s="146">
        <v>8950</v>
      </c>
      <c r="C19" s="141" t="s">
        <v>131</v>
      </c>
      <c r="D19" s="146">
        <v>9110</v>
      </c>
    </row>
    <row r="20" spans="1:8" ht="15.9" customHeight="1" x14ac:dyDescent="0.3">
      <c r="A20" s="71">
        <v>2</v>
      </c>
      <c r="B20" s="79">
        <v>1000</v>
      </c>
      <c r="C20" s="72" t="s">
        <v>164</v>
      </c>
      <c r="D20" s="79">
        <v>1000</v>
      </c>
    </row>
    <row r="21" spans="1:8" ht="15.9" customHeight="1" x14ac:dyDescent="0.3">
      <c r="A21" s="71">
        <v>3</v>
      </c>
      <c r="B21" s="79">
        <v>19750</v>
      </c>
      <c r="C21" s="72" t="s">
        <v>132</v>
      </c>
      <c r="D21" s="79">
        <v>20250</v>
      </c>
    </row>
    <row r="22" spans="1:8" ht="15.9" customHeight="1" x14ac:dyDescent="0.3">
      <c r="A22" s="71">
        <v>4</v>
      </c>
      <c r="B22" s="79">
        <v>4500</v>
      </c>
      <c r="C22" s="72" t="s">
        <v>141</v>
      </c>
      <c r="D22" s="79">
        <v>1500</v>
      </c>
    </row>
    <row r="23" spans="1:8" ht="15.9" customHeight="1" x14ac:dyDescent="0.3">
      <c r="A23" s="71">
        <v>5</v>
      </c>
      <c r="B23" s="79">
        <v>4000</v>
      </c>
      <c r="C23" s="72" t="s">
        <v>27</v>
      </c>
      <c r="D23" s="79">
        <v>6000</v>
      </c>
      <c r="H23" s="80"/>
    </row>
    <row r="24" spans="1:8" ht="15.9" customHeight="1" x14ac:dyDescent="0.3">
      <c r="A24" s="71">
        <v>6</v>
      </c>
      <c r="B24" s="79">
        <v>3491</v>
      </c>
      <c r="C24" s="72" t="s">
        <v>143</v>
      </c>
      <c r="D24" s="79">
        <v>3923</v>
      </c>
    </row>
    <row r="25" spans="1:8" ht="15.9" customHeight="1" x14ac:dyDescent="0.3">
      <c r="A25" s="71">
        <v>9</v>
      </c>
      <c r="B25" s="79">
        <v>0</v>
      </c>
      <c r="C25" s="72" t="s">
        <v>144</v>
      </c>
      <c r="D25" s="79">
        <v>2130</v>
      </c>
    </row>
    <row r="26" spans="1:8" ht="15.9" customHeight="1" x14ac:dyDescent="0.3">
      <c r="A26" s="71">
        <v>10</v>
      </c>
      <c r="B26" s="79">
        <v>101814</v>
      </c>
      <c r="C26" s="72" t="s">
        <v>142</v>
      </c>
      <c r="D26" s="79">
        <f>6613+101814</f>
        <v>108427</v>
      </c>
    </row>
    <row r="27" spans="1:8" ht="15.9" customHeight="1" x14ac:dyDescent="0.3">
      <c r="A27" s="71">
        <v>11</v>
      </c>
      <c r="B27" s="79">
        <v>6600</v>
      </c>
      <c r="C27" s="72" t="s">
        <v>68</v>
      </c>
      <c r="D27" s="79">
        <v>6600</v>
      </c>
    </row>
    <row r="28" spans="1:8" ht="15.9" customHeight="1" thickBot="1" x14ac:dyDescent="0.35">
      <c r="A28" s="133">
        <v>12</v>
      </c>
      <c r="B28" s="134">
        <v>0</v>
      </c>
      <c r="C28" s="135" t="s">
        <v>193</v>
      </c>
      <c r="D28" s="134">
        <v>11490</v>
      </c>
    </row>
    <row r="29" spans="1:8" ht="15.9" customHeight="1" thickBot="1" x14ac:dyDescent="0.35">
      <c r="A29" s="136"/>
      <c r="B29" s="137">
        <f>SUM(B19:B28)</f>
        <v>150105</v>
      </c>
      <c r="C29" s="138" t="s">
        <v>12</v>
      </c>
      <c r="D29" s="139">
        <f>SUM(D19:D28)</f>
        <v>170430</v>
      </c>
    </row>
  </sheetData>
  <mergeCells count="8">
    <mergeCell ref="G3:I3"/>
    <mergeCell ref="G8:H8"/>
    <mergeCell ref="A17:D17"/>
    <mergeCell ref="A1:D1"/>
    <mergeCell ref="B7:C7"/>
    <mergeCell ref="B14:C14"/>
    <mergeCell ref="B9:D9"/>
    <mergeCell ref="B3:D3"/>
  </mergeCells>
  <printOptions horizontalCentered="1"/>
  <pageMargins left="0.11811023622047245" right="0.11811023622047245" top="0.59055118110236227" bottom="0.19685039370078741" header="0.19685039370078741" footer="0.19685039370078741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69"/>
  <sheetViews>
    <sheetView workbookViewId="0">
      <selection activeCell="K18" sqref="K18"/>
    </sheetView>
  </sheetViews>
  <sheetFormatPr defaultColWidth="14.44140625" defaultRowHeight="14.4" x14ac:dyDescent="0.3"/>
  <cols>
    <col min="1" max="1" width="5.6640625" bestFit="1" customWidth="1"/>
    <col min="2" max="2" width="60" bestFit="1" customWidth="1"/>
    <col min="3" max="3" width="10.44140625" bestFit="1" customWidth="1"/>
    <col min="4" max="4" width="12.33203125" bestFit="1" customWidth="1"/>
    <col min="5" max="5" width="13.109375" customWidth="1"/>
    <col min="6" max="6" width="4.44140625" bestFit="1" customWidth="1"/>
    <col min="7" max="7" width="10.88671875" customWidth="1"/>
    <col min="8" max="8" width="11.33203125" bestFit="1" customWidth="1"/>
    <col min="9" max="9" width="8.5546875" bestFit="1" customWidth="1"/>
    <col min="10" max="10" width="7.33203125" bestFit="1" customWidth="1"/>
    <col min="11" max="11" width="16.6640625" bestFit="1" customWidth="1"/>
    <col min="12" max="12" width="9.88671875" customWidth="1"/>
  </cols>
  <sheetData>
    <row r="1" spans="1:12" ht="18" x14ac:dyDescent="0.3">
      <c r="A1" s="191" t="s">
        <v>85</v>
      </c>
      <c r="B1" s="192"/>
      <c r="C1" s="192"/>
      <c r="D1" s="192"/>
      <c r="E1" s="11"/>
      <c r="F1" s="11"/>
      <c r="G1" s="11"/>
      <c r="H1" s="12"/>
      <c r="I1" s="12"/>
      <c r="J1" s="12"/>
      <c r="K1" s="12"/>
      <c r="L1" s="12"/>
    </row>
    <row r="2" spans="1:12" x14ac:dyDescent="0.3">
      <c r="A2" s="193" t="s">
        <v>201</v>
      </c>
      <c r="B2" s="194"/>
      <c r="C2" s="194"/>
      <c r="D2" s="194"/>
      <c r="E2" s="13"/>
      <c r="F2" s="12"/>
      <c r="G2" s="12"/>
      <c r="H2" s="195"/>
      <c r="I2" s="195"/>
      <c r="J2" s="195"/>
      <c r="K2" s="195"/>
      <c r="L2" s="195"/>
    </row>
    <row r="3" spans="1:12" x14ac:dyDescent="0.3">
      <c r="A3" s="14"/>
      <c r="B3" s="14"/>
      <c r="C3" s="14"/>
      <c r="D3" s="15" t="s">
        <v>20</v>
      </c>
      <c r="F3" s="12"/>
      <c r="G3" s="12"/>
      <c r="H3" s="17"/>
      <c r="I3" s="17"/>
      <c r="J3" s="81"/>
      <c r="K3" s="17"/>
      <c r="L3" s="17"/>
    </row>
    <row r="4" spans="1:12" x14ac:dyDescent="0.3">
      <c r="A4" s="14"/>
      <c r="B4" s="19" t="s">
        <v>77</v>
      </c>
      <c r="C4" s="14"/>
      <c r="D4" s="16">
        <v>426209.01</v>
      </c>
      <c r="E4" s="12"/>
      <c r="F4" s="17"/>
      <c r="G4" s="17"/>
      <c r="H4" s="12"/>
      <c r="I4" s="12"/>
      <c r="J4" s="12"/>
      <c r="K4" s="12"/>
      <c r="L4" s="12"/>
    </row>
    <row r="5" spans="1:12" x14ac:dyDescent="0.3">
      <c r="A5" s="14"/>
      <c r="B5" s="14"/>
      <c r="C5" s="14"/>
      <c r="D5" s="18"/>
      <c r="E5" s="12"/>
      <c r="F5" s="12"/>
      <c r="G5" s="82"/>
      <c r="H5" s="12"/>
      <c r="I5" s="12"/>
      <c r="J5" s="12"/>
      <c r="K5" s="12"/>
      <c r="L5" s="12"/>
    </row>
    <row r="6" spans="1:12" ht="14.4" customHeight="1" x14ac:dyDescent="0.3">
      <c r="A6" s="14" t="s">
        <v>78</v>
      </c>
      <c r="B6" s="19" t="s">
        <v>79</v>
      </c>
      <c r="C6" s="14"/>
      <c r="D6" s="18">
        <f>I6</f>
        <v>0</v>
      </c>
      <c r="E6" s="12"/>
      <c r="H6" s="12"/>
      <c r="I6" s="11"/>
      <c r="J6" s="12"/>
      <c r="K6" s="12"/>
      <c r="L6" s="12"/>
    </row>
    <row r="7" spans="1:12" x14ac:dyDescent="0.3">
      <c r="A7" s="14"/>
      <c r="B7" s="19"/>
      <c r="C7" s="19"/>
      <c r="D7" s="18"/>
      <c r="E7" s="12"/>
      <c r="L7" s="12"/>
    </row>
    <row r="8" spans="1:12" x14ac:dyDescent="0.3">
      <c r="A8" s="14" t="s">
        <v>80</v>
      </c>
      <c r="B8" s="19" t="s">
        <v>83</v>
      </c>
      <c r="C8" s="19"/>
      <c r="D8" s="18">
        <v>0</v>
      </c>
      <c r="E8" s="12"/>
      <c r="F8" s="12"/>
      <c r="G8" s="21"/>
    </row>
    <row r="9" spans="1:12" x14ac:dyDescent="0.3">
      <c r="A9" s="14"/>
      <c r="B9" s="19"/>
      <c r="C9" s="19"/>
      <c r="D9" s="18"/>
      <c r="E9" s="12"/>
      <c r="F9" s="12"/>
      <c r="G9" s="21"/>
      <c r="H9" s="12"/>
      <c r="I9" s="12"/>
      <c r="J9" s="12"/>
      <c r="K9" s="12"/>
      <c r="L9" s="12"/>
    </row>
    <row r="10" spans="1:12" x14ac:dyDescent="0.3">
      <c r="A10" s="14"/>
      <c r="B10" s="14"/>
      <c r="C10" s="19"/>
      <c r="D10" s="18">
        <v>0</v>
      </c>
      <c r="E10" s="12"/>
      <c r="F10" s="12"/>
      <c r="G10" s="21"/>
      <c r="H10" s="12"/>
      <c r="I10" s="12"/>
      <c r="J10" s="12"/>
      <c r="K10" s="12"/>
      <c r="L10" s="12"/>
    </row>
    <row r="11" spans="1:12" x14ac:dyDescent="0.3">
      <c r="A11" s="14"/>
      <c r="B11" s="14"/>
      <c r="C11" s="18"/>
      <c r="D11" s="14"/>
      <c r="E11" s="12"/>
      <c r="F11" s="12"/>
      <c r="G11" s="21"/>
      <c r="H11" s="12"/>
      <c r="I11" s="12"/>
      <c r="J11" s="12"/>
      <c r="K11" s="12"/>
      <c r="L11" s="12"/>
    </row>
    <row r="12" spans="1:12" x14ac:dyDescent="0.3">
      <c r="A12" s="14"/>
      <c r="B12" s="19" t="s">
        <v>84</v>
      </c>
      <c r="C12" s="19"/>
      <c r="D12" s="16">
        <v>426209.01</v>
      </c>
      <c r="E12" s="12"/>
      <c r="F12" s="12"/>
      <c r="G12" s="21"/>
      <c r="H12" s="12"/>
      <c r="I12" s="12"/>
      <c r="J12" s="12"/>
      <c r="K12" s="12"/>
      <c r="L12" s="12"/>
    </row>
    <row r="13" spans="1:12" x14ac:dyDescent="0.3">
      <c r="A13" s="12"/>
      <c r="B13" s="12"/>
      <c r="C13" s="12"/>
      <c r="D13" s="22">
        <f>D4-D12</f>
        <v>0</v>
      </c>
      <c r="E13" s="12"/>
      <c r="F13" s="20"/>
      <c r="G13" s="21"/>
      <c r="H13" s="12"/>
      <c r="I13" s="12"/>
      <c r="J13" s="12"/>
      <c r="K13" s="12"/>
      <c r="L13" s="12"/>
    </row>
    <row r="14" spans="1:12" x14ac:dyDescent="0.3">
      <c r="A14" s="12"/>
      <c r="B14" s="12"/>
      <c r="C14" s="12"/>
      <c r="D14" s="12"/>
      <c r="E14" s="20"/>
      <c r="F14" s="12"/>
      <c r="G14" s="12"/>
      <c r="H14" s="12"/>
      <c r="I14" s="12"/>
      <c r="J14" s="12"/>
      <c r="K14" s="12"/>
      <c r="L14" s="12"/>
    </row>
    <row r="15" spans="1:12" ht="15.75" customHeight="1" x14ac:dyDescent="0.3">
      <c r="A15" s="191" t="s">
        <v>85</v>
      </c>
      <c r="B15" s="192"/>
      <c r="C15" s="192"/>
      <c r="D15" s="192"/>
      <c r="E15" s="12"/>
      <c r="F15" s="12"/>
      <c r="G15" s="12"/>
      <c r="H15" s="12"/>
      <c r="I15" s="12"/>
      <c r="J15" s="12"/>
      <c r="K15" s="12"/>
      <c r="L15" s="12"/>
    </row>
    <row r="16" spans="1:12" ht="15.75" customHeight="1" x14ac:dyDescent="0.3">
      <c r="A16" s="193" t="s">
        <v>200</v>
      </c>
      <c r="B16" s="194"/>
      <c r="C16" s="194"/>
      <c r="D16" s="194"/>
      <c r="E16" s="12"/>
      <c r="F16" s="12"/>
      <c r="G16" s="12"/>
      <c r="H16" s="12"/>
      <c r="I16" s="12"/>
      <c r="J16" s="12"/>
      <c r="K16" s="12"/>
      <c r="L16" s="12"/>
    </row>
    <row r="17" spans="1:12" ht="15.75" customHeight="1" x14ac:dyDescent="0.3">
      <c r="A17" s="14"/>
      <c r="B17" s="14"/>
      <c r="C17" s="14"/>
      <c r="D17" s="15" t="s">
        <v>20</v>
      </c>
      <c r="E17" s="12"/>
      <c r="F17" s="12"/>
      <c r="G17" s="12"/>
      <c r="H17" s="12"/>
      <c r="I17" s="12"/>
      <c r="J17" s="12"/>
      <c r="K17" s="12"/>
      <c r="L17" s="12"/>
    </row>
    <row r="18" spans="1:12" ht="15.75" customHeight="1" x14ac:dyDescent="0.3">
      <c r="A18" s="14"/>
      <c r="B18" s="14" t="s">
        <v>77</v>
      </c>
      <c r="C18" s="14"/>
      <c r="D18" s="16">
        <v>11775</v>
      </c>
      <c r="E18" s="12"/>
      <c r="F18" s="12"/>
      <c r="G18" s="12"/>
      <c r="H18" s="12"/>
      <c r="I18" s="12"/>
      <c r="J18" s="12"/>
      <c r="K18" s="12"/>
      <c r="L18" s="12"/>
    </row>
    <row r="19" spans="1:12" ht="15.75" customHeight="1" x14ac:dyDescent="0.3">
      <c r="A19" s="14"/>
      <c r="B19" s="14"/>
      <c r="C19" s="14"/>
      <c r="D19" s="18"/>
      <c r="E19" s="12"/>
      <c r="F19" s="12"/>
      <c r="G19" s="12"/>
      <c r="H19" s="12"/>
      <c r="I19" s="12"/>
      <c r="J19" s="12"/>
      <c r="K19" s="12"/>
      <c r="L19" s="12"/>
    </row>
    <row r="20" spans="1:12" ht="15.75" customHeight="1" x14ac:dyDescent="0.3">
      <c r="A20" s="14" t="s">
        <v>80</v>
      </c>
      <c r="B20" s="19" t="s">
        <v>81</v>
      </c>
      <c r="C20" s="19"/>
      <c r="D20" s="18">
        <v>0</v>
      </c>
      <c r="E20" s="12"/>
      <c r="F20" s="12"/>
      <c r="G20" s="12"/>
      <c r="H20" s="12"/>
      <c r="I20" s="12"/>
      <c r="J20" s="12"/>
      <c r="K20" s="12"/>
      <c r="L20" s="12"/>
    </row>
    <row r="21" spans="1:12" ht="15.75" customHeight="1" x14ac:dyDescent="0.3">
      <c r="A21" s="14"/>
      <c r="B21" s="19"/>
      <c r="C21" s="19"/>
      <c r="D21" s="18"/>
      <c r="E21" s="12"/>
      <c r="F21" s="12"/>
      <c r="G21" s="12"/>
      <c r="H21" s="12"/>
      <c r="I21" s="12"/>
      <c r="J21" s="12"/>
      <c r="K21" s="12"/>
      <c r="L21" s="12"/>
    </row>
    <row r="22" spans="1:12" ht="15.75" customHeight="1" x14ac:dyDescent="0.3">
      <c r="A22" s="14" t="s">
        <v>78</v>
      </c>
      <c r="B22" s="19" t="s">
        <v>82</v>
      </c>
      <c r="C22" s="14"/>
      <c r="D22" s="18">
        <v>0</v>
      </c>
      <c r="E22" s="12"/>
      <c r="F22" s="12"/>
      <c r="G22" s="12"/>
      <c r="H22" s="12"/>
      <c r="I22" s="12"/>
      <c r="J22" s="12"/>
      <c r="K22" s="12"/>
      <c r="L22" s="12"/>
    </row>
    <row r="23" spans="1:12" ht="15.75" customHeight="1" x14ac:dyDescent="0.3">
      <c r="A23" s="14"/>
      <c r="B23" s="14"/>
      <c r="C23" s="19"/>
      <c r="D23" s="18">
        <f>D18-D20-D22</f>
        <v>11775</v>
      </c>
      <c r="E23" s="12"/>
      <c r="F23" s="12"/>
      <c r="G23" s="12"/>
      <c r="H23" s="12"/>
      <c r="I23" s="12"/>
      <c r="J23" s="12"/>
      <c r="K23" s="12"/>
      <c r="L23" s="12"/>
    </row>
    <row r="24" spans="1:12" ht="15.75" customHeight="1" x14ac:dyDescent="0.3">
      <c r="A24" s="14"/>
      <c r="B24" s="14"/>
      <c r="C24" s="18"/>
      <c r="D24" s="14"/>
      <c r="E24" s="12"/>
      <c r="F24" s="12"/>
      <c r="G24" s="12"/>
      <c r="H24" s="12"/>
      <c r="I24" s="12"/>
      <c r="J24" s="12"/>
      <c r="K24" s="12"/>
      <c r="L24" s="12"/>
    </row>
    <row r="25" spans="1:12" ht="15.75" customHeight="1" x14ac:dyDescent="0.3">
      <c r="A25" s="14"/>
      <c r="B25" s="19" t="s">
        <v>84</v>
      </c>
      <c r="C25" s="19"/>
      <c r="D25" s="23">
        <v>11775</v>
      </c>
      <c r="E25" s="12"/>
      <c r="F25" s="12"/>
      <c r="G25" s="12"/>
      <c r="H25" s="12"/>
      <c r="I25" s="12"/>
      <c r="J25" s="12"/>
      <c r="K25" s="12"/>
      <c r="L25" s="12"/>
    </row>
    <row r="26" spans="1:12" ht="15.75" customHeight="1" x14ac:dyDescent="0.3">
      <c r="A26" s="12"/>
      <c r="B26" s="12"/>
      <c r="C26" s="12"/>
      <c r="D26" s="22">
        <f>D23-D25</f>
        <v>0</v>
      </c>
      <c r="E26" s="12"/>
      <c r="F26" s="12"/>
      <c r="G26" s="12"/>
      <c r="H26" s="12"/>
      <c r="I26" s="12"/>
      <c r="J26" s="12"/>
      <c r="K26" s="12"/>
      <c r="L26" s="12"/>
    </row>
    <row r="27" spans="1:12" ht="15.7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.7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5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5.7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5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5.7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5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15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15.7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15.7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1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5.7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5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15.7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15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15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5.7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15.7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ht="15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ht="15.7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15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ht="15.7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5.7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15.7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15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ht="15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ht="15.7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ht="15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15.7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ht="15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ht="15.7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ht="15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ht="15.7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15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15.7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15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ht="15.7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ht="15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ht="15.7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ht="15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ht="15.7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ht="15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ht="15.7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ht="15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ht="15.7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15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15.7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ht="15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 ht="15.7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ht="15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ht="15.7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ht="15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 ht="15.7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ht="15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15.7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1:12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1:12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1:12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1:12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1:12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1:12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1:12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1:12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1:12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1:12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1:12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1:12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1:12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1:12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1:12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1:12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spans="1:12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spans="1:12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spans="1:12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spans="1:12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spans="1:12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1:12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spans="1:12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spans="1:12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spans="1:12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spans="1:12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spans="1:12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1:12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spans="1:12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spans="1:12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spans="1:12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spans="1:12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spans="1:12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spans="1:12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spans="1:12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spans="1:12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spans="1:12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spans="1:12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1:12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spans="1:12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1:12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1:12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1:12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1:12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spans="1:12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spans="1:12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1:12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spans="1:12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spans="1:12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1:12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spans="1:12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1:12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spans="1:12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1:12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1:12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1:12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spans="1:12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1:12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spans="1:12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1:12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spans="1:12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1:12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spans="1:12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spans="1:12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spans="1:12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spans="1:12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spans="1:12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spans="1:12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spans="1:12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spans="1:12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spans="1:12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spans="1:12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spans="1:12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spans="1:12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spans="1:12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spans="1:12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spans="1:12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1:12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spans="1:12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spans="1:12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spans="1:12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spans="1:12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spans="1:12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spans="1:12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spans="1:12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spans="1:12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spans="1:12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spans="1:12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spans="1:12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spans="1:12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spans="1:12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spans="1:12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spans="1:12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spans="1:12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spans="1:12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spans="1:12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spans="1:12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spans="1:12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spans="1:12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spans="1:12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spans="1:12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spans="1:12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spans="1:12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spans="1:12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spans="1:12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spans="1:12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spans="1:12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spans="1:12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spans="1:12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spans="1:12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spans="1:12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spans="1:12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spans="1:12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spans="1:12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spans="1:12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spans="1:12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spans="1:12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spans="1:12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spans="1:12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spans="1:12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spans="1:12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spans="1:12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spans="1:12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spans="1:12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spans="1:12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spans="1:12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spans="1:12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spans="1:12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spans="1:12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spans="1:12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spans="1:12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spans="1:12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spans="1:12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spans="1:12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spans="1:12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spans="1:12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spans="1:12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spans="1:12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spans="1:12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spans="1:12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spans="1:12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spans="1:12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spans="1:12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spans="1:12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spans="1:12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spans="1:12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spans="1:12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spans="1:12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spans="1:12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spans="1:12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spans="1:12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spans="1:12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spans="1:12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spans="1:12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spans="1:12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spans="1:12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spans="1:12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spans="1:12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spans="1:12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spans="1:12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spans="1:12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spans="1:12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spans="1:12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spans="1:12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spans="1:12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spans="1:12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spans="1:12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1:12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1:12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spans="1:12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spans="1:12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1:12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spans="1:12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1:12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spans="1:12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1:12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spans="1:12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spans="1:12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spans="1:12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spans="1:12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spans="1:12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spans="1:12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spans="1:12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spans="1:12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spans="1:12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spans="1:12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spans="1:12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spans="1:12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spans="1:12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spans="1:12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spans="1:12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spans="1:12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spans="1:12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spans="1:12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spans="1:12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1:12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spans="1:12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spans="1:12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spans="1:12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spans="1:12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spans="1:12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spans="1:12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spans="1:12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spans="1:12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spans="1:12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1:12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spans="1:12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spans="1:12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spans="1:12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spans="1:12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spans="1:12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spans="1:12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spans="1:12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spans="1:12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spans="1:12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spans="1:12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spans="1:12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1:12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spans="1:12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spans="1:12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spans="1:12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spans="1:12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spans="1:12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spans="1:12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spans="1:12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spans="1:12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spans="1:12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spans="1:12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spans="1:12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spans="1:12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spans="1:12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spans="1:12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spans="1:12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spans="1:12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spans="1:12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spans="1:12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spans="1:12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spans="1:12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spans="1:12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spans="1:12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spans="1:12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spans="1:12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spans="1:12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spans="1:12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spans="1:12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spans="1:12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spans="1:12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spans="1:12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spans="1:12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spans="1:12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spans="1:12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spans="1:12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spans="1:12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spans="1:12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spans="1:12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spans="1:12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spans="1:12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spans="1:12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spans="1:12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spans="1:12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spans="1:12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spans="1:12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spans="1:12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spans="1:12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spans="1:12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spans="1:12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spans="1:12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spans="1:12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spans="1:12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spans="1:12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spans="1:12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spans="1:12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spans="1:12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spans="1:12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spans="1:12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spans="1:12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spans="1:12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spans="1:12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spans="1:12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spans="1:12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spans="1:12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spans="1:12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spans="1:12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spans="1:12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spans="1:12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1:12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1:12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1:12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spans="1:12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1:12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1:12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1:12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spans="1:12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1:12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1:12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1:12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spans="1:12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1:12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spans="1:12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1:12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spans="1:12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1:12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spans="1:12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1:12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spans="1:12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1:12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1:12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1:12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1:12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1:12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1:12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1:12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1:12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1:12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spans="1:12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1:12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spans="1:12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1:12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spans="1:12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1:12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spans="1:12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1:12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spans="1:12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1:12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spans="1:12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1:12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spans="1:12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1:12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spans="1:12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1:12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spans="1:12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1:12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spans="1:12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1:12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spans="1:12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1:12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spans="1:12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1:12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spans="1:12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1:12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spans="1:12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1:12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spans="1:12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1:12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spans="1:12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1:12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spans="1:12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1:12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spans="1:12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1:12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spans="1:12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1:12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spans="1:12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1:12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spans="1:12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1:12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spans="1:12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1:12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spans="1:12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1:12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spans="1:12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1:12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spans="1:12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1:12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spans="1:12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1:12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spans="1:12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1:12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spans="1:12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spans="1:12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spans="1:12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spans="1:12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spans="1:12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spans="1:12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spans="1:12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spans="1:12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spans="1:12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spans="1:12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spans="1:12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spans="1:12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spans="1:12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spans="1:12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spans="1:12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spans="1:12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spans="1:12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spans="1:12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spans="1:12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spans="1:12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spans="1:12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spans="1:12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spans="1:12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spans="1:12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spans="1:12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spans="1:12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spans="1:12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spans="1:12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spans="1:12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spans="1:12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spans="1:12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spans="1:12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spans="1:12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spans="1:12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spans="1:12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spans="1:12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spans="1:12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spans="1:12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spans="1:12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spans="1:12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spans="1:12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spans="1:12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spans="1:12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spans="1:12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spans="1:12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spans="1:12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spans="1:12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spans="1:12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spans="1:12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1:12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spans="1:12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spans="1:12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spans="1:12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spans="1:12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spans="1:12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spans="1:12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spans="1:12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spans="1:12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spans="1:12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spans="1:12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spans="1:12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spans="1:12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spans="1:12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spans="1:12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spans="1:12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spans="1:12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spans="1:12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spans="1:12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spans="1:12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spans="1:12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spans="1:12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spans="1:12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spans="1:12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spans="1:12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spans="1:12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spans="1:12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spans="1:12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spans="1:12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spans="1:12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spans="1:12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spans="1:12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spans="1:12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spans="1:12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spans="1:12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spans="1:12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spans="1:12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spans="1:12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spans="1:12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spans="1:12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spans="1:12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spans="1:12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spans="1:12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spans="1:12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spans="1:12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spans="1:12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spans="1:12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spans="1:12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spans="1:12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spans="1:12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spans="1:12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spans="1:12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spans="1:12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spans="1:12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spans="1:12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spans="1:12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spans="1:12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spans="1:12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spans="1:12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spans="1:12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spans="1:12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spans="1:12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spans="1:12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spans="1:12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spans="1:12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spans="1:12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spans="1:12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spans="1:12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spans="1:12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spans="1:12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spans="1:12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spans="1:12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spans="1:12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spans="1:12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spans="1:12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spans="1:12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spans="1:12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spans="1:12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spans="1:12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spans="1:12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spans="1:12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spans="1:12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spans="1:12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spans="1:12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spans="1:12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spans="1:12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spans="1:12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spans="1:12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spans="1:12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spans="1:12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spans="1:12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spans="1:12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spans="1:12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spans="1:12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spans="1:12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spans="1:12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spans="1:12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spans="1:12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spans="1:12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spans="1:12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spans="1:12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spans="1:12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spans="1:12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spans="1:12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spans="1:12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spans="1:12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spans="1:12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spans="1:12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spans="1:12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spans="1:12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spans="1:12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spans="1:12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spans="1:12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spans="1:12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spans="1:12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spans="1:12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spans="1:12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spans="1:12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spans="1:12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spans="1:12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spans="1:12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spans="1:12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spans="1:12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spans="1:12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spans="1:12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spans="1:12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spans="1:12" ht="15.75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spans="1:12" ht="15.75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spans="1:12" ht="15.75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spans="1:12" ht="15.75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spans="1:12" ht="15.75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spans="1:12" ht="15.75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spans="1:12" ht="15.75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spans="1:12" ht="15.75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spans="1:12" ht="15.75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spans="1:12" ht="15.75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spans="1:12" ht="15.75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spans="1:12" ht="15.75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spans="1:12" ht="15.75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spans="1:12" ht="15.75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spans="1:12" ht="15.75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spans="1:12" ht="15.75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spans="1:12" ht="15.75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spans="1:12" ht="15.75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spans="1:12" ht="15.75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spans="1:12" ht="15.75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spans="1:12" ht="15.75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spans="1:12" ht="15.75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spans="1:12" ht="15.75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spans="1:12" ht="15.75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spans="1:12" ht="15.75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spans="1:12" ht="15.75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spans="1:12" ht="15.75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spans="1:12" ht="15.75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spans="1:12" ht="15.75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spans="1:12" ht="15.75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spans="1:12" ht="15.75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spans="1:12" ht="15.75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spans="1:12" ht="15.75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spans="1:12" ht="15.75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spans="1:12" ht="15.75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spans="1:12" ht="15.75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spans="1:12" ht="15.75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spans="1:12" ht="15.75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spans="1:12" ht="15.75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spans="1:12" ht="15.75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spans="1:12" ht="15.75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spans="1:12" ht="15.75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spans="1:12" ht="15.75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spans="1:12" ht="15.75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spans="1:12" ht="15.75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spans="1:12" ht="15.75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spans="1:12" ht="15.75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spans="1:12" ht="15.75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spans="1:12" ht="15.75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spans="1:12" ht="15.75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spans="1:12" ht="15.75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spans="1:12" ht="15.75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spans="1:12" ht="15.75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spans="1:12" ht="15.75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spans="1:12" ht="15.75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spans="1:12" ht="15.75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spans="1:12" ht="15.75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spans="1:12" ht="15.75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spans="1:12" ht="15.75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spans="1:12" ht="15.75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spans="1:12" ht="15.75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spans="1:12" ht="15.75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spans="1:12" ht="15.75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spans="1:12" ht="15.75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spans="1:12" ht="15.75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spans="1:12" ht="15.75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spans="1:12" ht="15.75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spans="1:12" ht="15.75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spans="1:12" ht="15.75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spans="1:12" ht="15.75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spans="1:12" ht="15.75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spans="1:12" ht="15.75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spans="1:12" ht="15.75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spans="1:12" ht="15.75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spans="1:12" ht="15.75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spans="1:12" ht="15.75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spans="1:12" ht="15.75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spans="1:12" ht="15.75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spans="1:12" ht="15.75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spans="1:12" ht="15.75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spans="1:12" ht="15.75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spans="1:12" ht="15.75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spans="1:12" ht="15.75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spans="1:12" ht="15.75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spans="1:12" ht="15.75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spans="1:12" ht="15.75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spans="1:12" ht="15.75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spans="1:12" ht="15.75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spans="1:12" ht="15.75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spans="1:12" ht="15.75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spans="1:12" ht="15.75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spans="1:12" ht="15.75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spans="1:12" ht="15.75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spans="1:12" ht="15.75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spans="1:12" ht="15.75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spans="1:12" ht="15.75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spans="1:12" ht="15.75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spans="1:12" ht="15.75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spans="1:12" ht="15.75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spans="1:12" ht="15.75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spans="1:12" ht="15.75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spans="1:12" ht="15.75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spans="1:12" ht="15.75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spans="1:12" ht="15.75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spans="1:12" ht="15.75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spans="1:12" ht="15.75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spans="1:12" ht="15.75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spans="1:12" ht="15.75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spans="1:12" ht="15.75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spans="1:12" ht="15.75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spans="1:12" ht="15.75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spans="1:12" ht="15.75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spans="1:12" ht="15.75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spans="1:12" ht="15.75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spans="1:12" ht="15.75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spans="1:12" ht="15.75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spans="1:12" ht="15.75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spans="1:12" ht="15.75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spans="1:12" ht="15.75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spans="1:12" ht="15.75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spans="1:12" ht="15.75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spans="1:12" ht="15.75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spans="1:12" ht="15.75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spans="1:12" ht="15.75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spans="1:12" ht="15.75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spans="1:12" ht="15.75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spans="1:12" ht="15.75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spans="1:12" ht="15.75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spans="1:12" ht="15.75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spans="1:12" ht="15.75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spans="1:12" ht="15.75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spans="1:12" ht="15.75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spans="1:12" ht="15.75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spans="1:12" ht="15.75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spans="1:12" ht="15.75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 spans="1:12" ht="15.75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spans="1:12" ht="15.75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 spans="1:12" ht="15.75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spans="1:12" ht="15.75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 spans="1:12" ht="15.75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spans="1:12" ht="15.75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 spans="1:12" ht="15.75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spans="1:12" ht="15.75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 spans="1:12" ht="15.75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spans="1:12" ht="15.75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 spans="1:12" ht="15.75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spans="1:12" ht="15.75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 spans="1:12" ht="15.75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spans="1:12" ht="15.75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 spans="1:12" ht="15.75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spans="1:12" ht="15.75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 spans="1:12" ht="15.75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spans="1:12" ht="15.75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 spans="1:12" ht="15.75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spans="1:12" ht="15.75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 spans="1:12" ht="15.75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spans="1:12" ht="15.75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 spans="1:12" ht="15.75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spans="1:12" ht="15.75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spans="1:12" ht="15.75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spans="1:12" ht="15.75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spans="1:12" ht="15.75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spans="1:12" ht="15.75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 spans="1:12" ht="15.75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spans="1:12" ht="15.75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spans="1:12" ht="15.75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spans="1:12" ht="15.75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 spans="1:12" ht="15.75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spans="1:12" ht="15.75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 spans="1:12" ht="15.75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spans="1:12" ht="15.75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 spans="1:12" ht="15.75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spans="1:12" ht="15.75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 spans="1:12" ht="15.75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spans="1:12" ht="15.75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 spans="1:12" ht="15.75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spans="1:12" ht="15.75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 spans="1:12" ht="15.75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spans="1:12" ht="15.75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 spans="1:12" ht="15.75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spans="1:12" ht="15.75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 spans="1:12" ht="15.75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spans="1:12" ht="15.75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 spans="1:12" ht="15.75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spans="1:12" ht="15.75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 spans="1:12" ht="15.75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spans="1:12" ht="15.75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 spans="1:12" ht="15.75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spans="1:12" ht="15.75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 spans="1:12" ht="15.75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spans="1:12" ht="15.75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 spans="1:12" ht="15.75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spans="1:12" ht="15.75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 spans="1:12" ht="15.75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spans="1:12" ht="15.75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 spans="1:12" ht="15.75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spans="1:12" ht="15.75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 spans="1:12" ht="15.75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spans="1:12" ht="15.75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 spans="1:12" ht="15.75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spans="1:12" ht="15.75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 spans="1:12" ht="15.75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spans="1:12" ht="15.75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 spans="1:12" ht="15.75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spans="1:12" ht="15.75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 spans="1:12" ht="15.75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spans="1:12" ht="15.75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 spans="1:12" ht="15.75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spans="1:12" ht="15.75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 spans="1:12" ht="15.75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spans="1:12" ht="15.75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 spans="1:12" ht="15.75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spans="1:12" ht="15.75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 spans="1:12" ht="15.75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spans="1:12" ht="15.75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 spans="1:12" ht="15.75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spans="1:12" ht="15.75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 spans="1:12" ht="15.75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spans="1:12" ht="15.75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 spans="1:12" ht="15.75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spans="1:12" ht="15.75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 spans="1:12" ht="15.75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spans="1:12" ht="15.75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 spans="1:12" ht="15.75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spans="1:12" ht="15.75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 spans="1:12" ht="15.75" customHeight="1" x14ac:dyDescent="0.3">
      <c r="A968" s="12"/>
      <c r="B968" s="12"/>
      <c r="C968" s="12"/>
      <c r="D968" s="12"/>
      <c r="E968" s="12"/>
      <c r="F968" s="12"/>
      <c r="G968" s="12"/>
    </row>
    <row r="969" spans="1:12" ht="15.75" customHeight="1" x14ac:dyDescent="0.3">
      <c r="A969" s="12"/>
      <c r="B969" s="12"/>
      <c r="C969" s="12"/>
      <c r="D969" s="12"/>
      <c r="E969" s="12"/>
    </row>
  </sheetData>
  <mergeCells count="5">
    <mergeCell ref="A1:D1"/>
    <mergeCell ref="A2:D2"/>
    <mergeCell ref="A15:D15"/>
    <mergeCell ref="A16:D16"/>
    <mergeCell ref="H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28"/>
  <sheetViews>
    <sheetView zoomScale="115" workbookViewId="0">
      <selection activeCell="G13" sqref="G13"/>
    </sheetView>
  </sheetViews>
  <sheetFormatPr defaultRowHeight="14.4" x14ac:dyDescent="0.3"/>
  <cols>
    <col min="1" max="1" width="3.44140625" customWidth="1"/>
    <col min="2" max="3" width="11.44140625" customWidth="1"/>
    <col min="4" max="4" width="5.5546875" style="7" bestFit="1" customWidth="1"/>
    <col min="5" max="5" width="8.109375" bestFit="1" customWidth="1"/>
    <col min="6" max="6" width="9.109375" style="5"/>
    <col min="8" max="8" width="25.33203125" bestFit="1" customWidth="1"/>
    <col min="9" max="9" width="3.5546875" bestFit="1" customWidth="1"/>
    <col min="13" max="14" width="10.44140625" bestFit="1" customWidth="1"/>
    <col min="15" max="15" width="5.5546875" bestFit="1" customWidth="1"/>
    <col min="16" max="16" width="8.109375" bestFit="1" customWidth="1"/>
    <col min="17" max="17" width="12" bestFit="1" customWidth="1"/>
  </cols>
  <sheetData>
    <row r="2" spans="2:13" x14ac:dyDescent="0.3">
      <c r="B2" t="s">
        <v>2</v>
      </c>
    </row>
    <row r="4" spans="2:13" x14ac:dyDescent="0.3">
      <c r="B4" s="149" t="s">
        <v>148</v>
      </c>
      <c r="C4" s="149"/>
      <c r="D4"/>
      <c r="H4" s="5"/>
    </row>
    <row r="5" spans="2:13" x14ac:dyDescent="0.3">
      <c r="D5"/>
    </row>
    <row r="6" spans="2:13" x14ac:dyDescent="0.3">
      <c r="B6" s="149" t="s">
        <v>146</v>
      </c>
      <c r="C6" s="149"/>
      <c r="D6" s="46" t="s">
        <v>147</v>
      </c>
      <c r="E6" s="46" t="s">
        <v>20</v>
      </c>
    </row>
    <row r="7" spans="2:13" x14ac:dyDescent="0.3">
      <c r="B7" s="6">
        <v>45698</v>
      </c>
      <c r="C7" s="6">
        <v>46059</v>
      </c>
      <c r="D7" s="50">
        <f>C7-B7</f>
        <v>361</v>
      </c>
      <c r="E7" s="50">
        <f>20109+6613</f>
        <v>26722</v>
      </c>
    </row>
    <row r="8" spans="2:13" x14ac:dyDescent="0.3">
      <c r="B8" s="6">
        <f>C7</f>
        <v>46059</v>
      </c>
      <c r="C8" s="6">
        <v>46112</v>
      </c>
      <c r="D8" s="50">
        <f>C8-B8</f>
        <v>53</v>
      </c>
      <c r="E8" s="57">
        <f>E7*D8/D7</f>
        <v>3923.174515235457</v>
      </c>
      <c r="F8" s="5" t="s">
        <v>75</v>
      </c>
    </row>
    <row r="10" spans="2:13" x14ac:dyDescent="0.3">
      <c r="B10" s="5" t="s">
        <v>195</v>
      </c>
      <c r="L10" s="8"/>
      <c r="M10" s="8"/>
    </row>
    <row r="11" spans="2:13" x14ac:dyDescent="0.3">
      <c r="B11" s="149" t="s">
        <v>146</v>
      </c>
      <c r="C11" s="149"/>
      <c r="D11" s="46" t="s">
        <v>147</v>
      </c>
      <c r="E11" s="46" t="s">
        <v>20</v>
      </c>
      <c r="I11" s="54"/>
      <c r="J11" s="6"/>
      <c r="K11" t="s">
        <v>65</v>
      </c>
      <c r="L11" s="4"/>
    </row>
    <row r="12" spans="2:13" x14ac:dyDescent="0.3">
      <c r="B12" s="6">
        <v>46023</v>
      </c>
      <c r="C12" s="6">
        <v>46387</v>
      </c>
      <c r="D12" s="50">
        <f>C12-B12+1</f>
        <v>365</v>
      </c>
      <c r="E12" s="50">
        <v>17700</v>
      </c>
      <c r="J12" s="6"/>
      <c r="K12" t="s">
        <v>65</v>
      </c>
      <c r="L12" s="4"/>
    </row>
    <row r="13" spans="2:13" x14ac:dyDescent="0.3">
      <c r="B13" s="6">
        <v>46113</v>
      </c>
      <c r="C13" s="6">
        <v>46387</v>
      </c>
      <c r="D13" s="50">
        <f>C13-B13+1</f>
        <v>275</v>
      </c>
      <c r="E13" s="57">
        <f>E12*D13/D12</f>
        <v>13335.616438356165</v>
      </c>
      <c r="F13" s="5" t="s">
        <v>74</v>
      </c>
      <c r="J13" s="6"/>
      <c r="K13" t="s">
        <v>65</v>
      </c>
      <c r="L13" s="4"/>
    </row>
    <row r="14" spans="2:13" x14ac:dyDescent="0.3">
      <c r="I14" s="6"/>
      <c r="J14" s="6"/>
      <c r="K14" t="s">
        <v>65</v>
      </c>
      <c r="L14" s="4"/>
      <c r="M14" s="4"/>
    </row>
    <row r="15" spans="2:13" x14ac:dyDescent="0.3">
      <c r="B15" s="5" t="s">
        <v>67</v>
      </c>
      <c r="I15" s="6"/>
      <c r="J15" s="6"/>
      <c r="K15" t="s">
        <v>65</v>
      </c>
      <c r="L15" s="4"/>
      <c r="M15" s="4"/>
    </row>
    <row r="16" spans="2:13" x14ac:dyDescent="0.3">
      <c r="B16" s="149" t="s">
        <v>146</v>
      </c>
      <c r="C16" s="149"/>
      <c r="D16" s="46" t="s">
        <v>147</v>
      </c>
      <c r="E16" s="46" t="s">
        <v>20</v>
      </c>
      <c r="I16" s="6"/>
      <c r="J16" s="6"/>
      <c r="K16" t="s">
        <v>65</v>
      </c>
      <c r="L16" s="4"/>
      <c r="M16" s="4"/>
    </row>
    <row r="17" spans="2:13" x14ac:dyDescent="0.3">
      <c r="B17" s="6">
        <v>45961</v>
      </c>
      <c r="C17" s="6">
        <v>46325</v>
      </c>
      <c r="D17" s="50">
        <f>C17-B17+1</f>
        <v>365</v>
      </c>
      <c r="E17" s="50">
        <v>16302</v>
      </c>
      <c r="I17" s="6"/>
      <c r="J17" s="6"/>
      <c r="K17" t="s">
        <v>65</v>
      </c>
      <c r="L17" s="4"/>
      <c r="M17" s="4"/>
    </row>
    <row r="18" spans="2:13" x14ac:dyDescent="0.3">
      <c r="B18" s="6">
        <v>46113</v>
      </c>
      <c r="C18" s="6">
        <v>46325</v>
      </c>
      <c r="D18" s="50">
        <f>C18-B18+1</f>
        <v>213</v>
      </c>
      <c r="E18" s="57">
        <f>E17*D18/D17</f>
        <v>9513.2219178082196</v>
      </c>
      <c r="F18" s="5" t="s">
        <v>74</v>
      </c>
      <c r="I18" s="6"/>
      <c r="J18" s="6"/>
      <c r="K18" t="s">
        <v>65</v>
      </c>
      <c r="L18" s="4"/>
    </row>
    <row r="19" spans="2:13" x14ac:dyDescent="0.3">
      <c r="I19" s="6"/>
      <c r="J19" s="6"/>
      <c r="K19" t="s">
        <v>65</v>
      </c>
      <c r="L19" s="4"/>
    </row>
    <row r="20" spans="2:13" x14ac:dyDescent="0.3">
      <c r="B20" s="5" t="s">
        <v>70</v>
      </c>
      <c r="I20" s="6"/>
      <c r="J20" s="6"/>
      <c r="K20" t="s">
        <v>65</v>
      </c>
      <c r="L20" s="4"/>
    </row>
    <row r="21" spans="2:13" x14ac:dyDescent="0.3">
      <c r="B21" s="149" t="s">
        <v>146</v>
      </c>
      <c r="C21" s="149"/>
      <c r="D21" s="46" t="s">
        <v>147</v>
      </c>
      <c r="E21" s="46" t="s">
        <v>20</v>
      </c>
      <c r="F21"/>
      <c r="I21" s="6"/>
    </row>
    <row r="22" spans="2:13" x14ac:dyDescent="0.3">
      <c r="B22" s="6">
        <v>46113</v>
      </c>
      <c r="C22" s="6">
        <v>46477</v>
      </c>
      <c r="D22" s="50">
        <f>C22-B22+1</f>
        <v>365</v>
      </c>
      <c r="E22" s="50">
        <v>5400</v>
      </c>
    </row>
    <row r="23" spans="2:13" x14ac:dyDescent="0.3">
      <c r="B23" s="6">
        <v>46113</v>
      </c>
      <c r="C23" s="6">
        <v>46477</v>
      </c>
      <c r="D23" s="50">
        <f>C23-B23+1</f>
        <v>365</v>
      </c>
      <c r="E23" s="57">
        <f>E22*D23/D22</f>
        <v>5400</v>
      </c>
      <c r="F23" s="5" t="s">
        <v>74</v>
      </c>
    </row>
    <row r="24" spans="2:13" x14ac:dyDescent="0.3">
      <c r="D24"/>
    </row>
    <row r="25" spans="2:13" x14ac:dyDescent="0.3">
      <c r="D25"/>
    </row>
    <row r="26" spans="2:13" x14ac:dyDescent="0.3">
      <c r="B26" s="149" t="s">
        <v>146</v>
      </c>
      <c r="C26" s="149"/>
      <c r="D26" s="46" t="s">
        <v>147</v>
      </c>
      <c r="E26" s="46" t="s">
        <v>20</v>
      </c>
    </row>
    <row r="27" spans="2:13" x14ac:dyDescent="0.3">
      <c r="B27" s="6">
        <v>45809</v>
      </c>
      <c r="C27" s="6">
        <v>46173</v>
      </c>
      <c r="D27" s="50">
        <f>C27-B27+1</f>
        <v>365</v>
      </c>
      <c r="E27" s="50">
        <v>3200</v>
      </c>
    </row>
    <row r="28" spans="2:13" x14ac:dyDescent="0.3">
      <c r="B28" s="6">
        <v>46113</v>
      </c>
      <c r="C28" s="6">
        <v>46173</v>
      </c>
      <c r="D28" s="50">
        <f>C28-B28+1</f>
        <v>61</v>
      </c>
      <c r="E28" s="57">
        <f>E27*D28/D27</f>
        <v>534.79452054794524</v>
      </c>
      <c r="F28" s="5" t="s">
        <v>74</v>
      </c>
    </row>
  </sheetData>
  <mergeCells count="6">
    <mergeCell ref="B26:C26"/>
    <mergeCell ref="B6:C6"/>
    <mergeCell ref="B4:C4"/>
    <mergeCell ref="B11:C11"/>
    <mergeCell ref="B16:C16"/>
    <mergeCell ref="B21:C2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BS</vt:lpstr>
      <vt:lpstr>IE</vt:lpstr>
      <vt:lpstr>Sch I - FD</vt:lpstr>
      <vt:lpstr>Sch II,III &amp; IV </vt:lpstr>
      <vt:lpstr>BRS</vt:lpstr>
      <vt:lpstr>Workings</vt:lpstr>
      <vt:lpstr>BS!Print_Area</vt:lpstr>
      <vt:lpstr>IE!Print_Area</vt:lpstr>
      <vt:lpstr>'Sch I - FD'!Print_Area</vt:lpstr>
      <vt:lpstr>'Sch II,III &amp; IV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2026-08-20T17:33:53Z</cp:lastPrinted>
  <dcterms:created xsi:type="dcterms:W3CDTF">2015-06-05T18:17:20Z</dcterms:created>
  <dcterms:modified xsi:type="dcterms:W3CDTF">2026-08-20T17:34:02Z</dcterms:modified>
</cp:coreProperties>
</file>