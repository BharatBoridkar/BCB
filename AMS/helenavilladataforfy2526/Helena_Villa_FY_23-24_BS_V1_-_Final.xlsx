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D drive backup\D data\Old Records - Powai\02.09.2016\Audit 2023-24\Apartment ADDA 24\Helena Villa 24\"/>
    </mc:Choice>
  </mc:AlternateContent>
  <xr:revisionPtr revIDLastSave="0" documentId="13_ncr:1_{BDA56F2E-3B8D-467F-B512-FBCFD60A3E42}" xr6:coauthVersionLast="47" xr6:coauthVersionMax="47" xr10:uidLastSave="{00000000-0000-0000-0000-000000000000}"/>
  <bookViews>
    <workbookView xWindow="-110" yWindow="-110" windowWidth="19420" windowHeight="10300" tabRatio="760" xr2:uid="{00000000-000D-0000-FFFF-FFFF00000000}"/>
  </bookViews>
  <sheets>
    <sheet name="BS" sheetId="2" r:id="rId1"/>
    <sheet name="IE" sheetId="1" r:id="rId2"/>
    <sheet name="Sch I - FD" sheetId="5" r:id="rId3"/>
    <sheet name="Sch II - FA" sheetId="4" r:id="rId4"/>
    <sheet name="Sch III - R&amp;S" sheetId="8" r:id="rId5"/>
    <sheet name="Sch IV - Mem. Adv" sheetId="9" r:id="rId6"/>
    <sheet name="Sch V -R&amp;M" sheetId="7" r:id="rId7"/>
    <sheet name="BRS" sheetId="3" r:id="rId8"/>
    <sheet name="Workings" sheetId="6" r:id="rId9"/>
    <sheet name="Sheet1" sheetId="10" r:id="rId10"/>
  </sheets>
  <definedNames>
    <definedName name="_xlnm.Print_Area" localSheetId="0">BS!$A$1:$H$49</definedName>
    <definedName name="_xlnm.Print_Area" localSheetId="1">IE!$A$1:$H$49</definedName>
    <definedName name="_xlnm.Print_Area" localSheetId="2">'Sch I - FD'!$A$1:$I$22</definedName>
    <definedName name="_xlnm.Print_Area" localSheetId="3">'Sch II - FA'!$A$1:$H$13</definedName>
    <definedName name="_xlnm.Print_Area" localSheetId="4">'Sch III - R&amp;S'!$B$1:$D$60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8" l="1"/>
  <c r="D51" i="8"/>
  <c r="D59" i="8" s="1"/>
  <c r="D45" i="8"/>
  <c r="A49" i="1"/>
  <c r="A46" i="1"/>
  <c r="C37" i="2"/>
  <c r="D37" i="2" s="1"/>
  <c r="C31" i="1"/>
  <c r="B39" i="6"/>
  <c r="B33" i="6"/>
  <c r="B35" i="6" s="1"/>
  <c r="B36" i="6" s="1"/>
  <c r="E25" i="2"/>
  <c r="C27" i="1"/>
  <c r="C35" i="1"/>
  <c r="D35" i="1" s="1"/>
  <c r="C4" i="7"/>
  <c r="D20" i="8"/>
  <c r="B28" i="8"/>
  <c r="D9" i="5"/>
  <c r="E9" i="5" s="1"/>
  <c r="G10" i="5"/>
  <c r="C10" i="5"/>
  <c r="D18" i="5"/>
  <c r="E18" i="5" s="1"/>
  <c r="E13" i="5"/>
  <c r="D17" i="5"/>
  <c r="E17" i="5" s="1"/>
  <c r="D16" i="5"/>
  <c r="E16" i="5" s="1"/>
  <c r="D15" i="5"/>
  <c r="E15" i="5" s="1"/>
  <c r="D14" i="5"/>
  <c r="E14" i="5" s="1"/>
  <c r="D13" i="5"/>
  <c r="G19" i="5"/>
  <c r="C19" i="5"/>
  <c r="H23" i="1"/>
  <c r="H20" i="1"/>
  <c r="G9" i="1"/>
  <c r="G6" i="10"/>
  <c r="D29" i="6"/>
  <c r="E28" i="6"/>
  <c r="D28" i="6"/>
  <c r="E19" i="6"/>
  <c r="D4" i="6"/>
  <c r="D3" i="6"/>
  <c r="E9" i="6"/>
  <c r="E8" i="5"/>
  <c r="E7" i="5"/>
  <c r="F7" i="3"/>
  <c r="B6" i="3" s="1"/>
  <c r="B9" i="3" s="1"/>
  <c r="C36" i="2"/>
  <c r="B17" i="3"/>
  <c r="D10" i="5" l="1"/>
  <c r="B37" i="6"/>
  <c r="B38" i="6" s="1"/>
  <c r="E10" i="5"/>
  <c r="D19" i="5"/>
  <c r="D21" i="5" s="1"/>
  <c r="G20" i="2" s="1"/>
  <c r="E19" i="5"/>
  <c r="E4" i="6"/>
  <c r="H27" i="1"/>
  <c r="E29" i="6"/>
  <c r="H32" i="2"/>
  <c r="D8" i="9"/>
  <c r="D31" i="2" s="1"/>
  <c r="B33" i="8"/>
  <c r="D31" i="8" s="1"/>
  <c r="D33" i="8" s="1"/>
  <c r="C21" i="2"/>
  <c r="C17" i="2"/>
  <c r="B21" i="8"/>
  <c r="D18" i="8" s="1"/>
  <c r="D21" i="8" s="1"/>
  <c r="B9" i="8"/>
  <c r="D6" i="8" s="1"/>
  <c r="D24" i="8"/>
  <c r="D28" i="8" s="1"/>
  <c r="B15" i="8"/>
  <c r="D12" i="8" s="1"/>
  <c r="D15" i="8" s="1"/>
  <c r="E24" i="6"/>
  <c r="A12" i="7"/>
  <c r="A17" i="1" s="1"/>
  <c r="A40" i="1" s="1"/>
  <c r="C12" i="7"/>
  <c r="D17" i="1" s="1"/>
  <c r="E14" i="6"/>
  <c r="H14" i="1"/>
  <c r="H40" i="1" l="1"/>
  <c r="B35" i="8"/>
  <c r="G21" i="5" l="1"/>
  <c r="C21" i="5"/>
  <c r="G19" i="2" l="1"/>
  <c r="E21" i="5" l="1"/>
  <c r="H20" i="2"/>
  <c r="F11" i="4"/>
  <c r="G11" i="4"/>
  <c r="D18" i="2" s="1"/>
  <c r="G10" i="4"/>
  <c r="F10" i="4"/>
  <c r="E13" i="4"/>
  <c r="D13" i="4"/>
  <c r="G12" i="4"/>
  <c r="F12" i="4"/>
  <c r="G9" i="4"/>
  <c r="F9" i="4"/>
  <c r="C13" i="4"/>
  <c r="G7" i="4"/>
  <c r="F7" i="4"/>
  <c r="C22" i="2" l="1"/>
  <c r="D22" i="2" s="1"/>
  <c r="H11" i="4"/>
  <c r="G14" i="4"/>
  <c r="G15" i="4"/>
  <c r="H10" i="4"/>
  <c r="H12" i="4"/>
  <c r="H9" i="4"/>
  <c r="H7" i="4"/>
  <c r="G8" i="4"/>
  <c r="G13" i="4" s="1"/>
  <c r="F8" i="4"/>
  <c r="G16" i="4" l="1"/>
  <c r="C25" i="1" s="1"/>
  <c r="D32" i="1" s="1"/>
  <c r="H8" i="4"/>
  <c r="H13" i="4" s="1"/>
  <c r="H22" i="2" s="1"/>
  <c r="F13" i="4"/>
  <c r="A39" i="2" l="1"/>
  <c r="E39" i="2"/>
  <c r="D29" i="2"/>
  <c r="H11" i="2"/>
  <c r="H39" i="2" s="1"/>
  <c r="H7" i="2"/>
  <c r="E7" i="2"/>
  <c r="E40" i="1"/>
  <c r="H7" i="1"/>
  <c r="E7" i="1"/>
  <c r="J37" i="2" l="1"/>
  <c r="D38" i="1"/>
  <c r="D9" i="8"/>
  <c r="D35" i="8" s="1"/>
  <c r="D14" i="2" s="1"/>
  <c r="D39" i="2" l="1"/>
  <c r="I39" i="2" s="1"/>
  <c r="D40" i="1"/>
  <c r="I39" i="1" s="1"/>
</calcChain>
</file>

<file path=xl/sharedStrings.xml><?xml version="1.0" encoding="utf-8"?>
<sst xmlns="http://schemas.openxmlformats.org/spreadsheetml/2006/main" count="521" uniqueCount="326">
  <si>
    <t>Previous Year</t>
  </si>
  <si>
    <t>EXPENDITURE</t>
  </si>
  <si>
    <t>Current Year</t>
  </si>
  <si>
    <t>INCOME</t>
  </si>
  <si>
    <t>Members Contribution Towards</t>
  </si>
  <si>
    <t>Property Tax</t>
  </si>
  <si>
    <t>Maintenance Charges</t>
  </si>
  <si>
    <t>Water Expenses</t>
  </si>
  <si>
    <t>Parking Charges</t>
  </si>
  <si>
    <t>Water Charges</t>
  </si>
  <si>
    <t>Late Payment Interest</t>
  </si>
  <si>
    <t>Electricity Charges</t>
  </si>
  <si>
    <t>Non Occupancy Charges</t>
  </si>
  <si>
    <t>Sinking Fund</t>
  </si>
  <si>
    <t>Interest Income</t>
  </si>
  <si>
    <t>Interest on Saving A/C</t>
  </si>
  <si>
    <t>Interest on Fixed Deposits</t>
  </si>
  <si>
    <t>Service Charges</t>
  </si>
  <si>
    <t>Audit Fees</t>
  </si>
  <si>
    <t>Subscription Charges</t>
  </si>
  <si>
    <t>Other Income</t>
  </si>
  <si>
    <t>Accounting Charges</t>
  </si>
  <si>
    <t>Dividend</t>
  </si>
  <si>
    <t>Printing and Stationery</t>
  </si>
  <si>
    <t>Total</t>
  </si>
  <si>
    <t>As per my report of even date</t>
  </si>
  <si>
    <t>Chairman</t>
  </si>
  <si>
    <t xml:space="preserve">Secretary </t>
  </si>
  <si>
    <t>Treasurer</t>
  </si>
  <si>
    <t>Place : Mumbai</t>
  </si>
  <si>
    <t>LIABILITIES</t>
  </si>
  <si>
    <t>ASSETS</t>
  </si>
  <si>
    <t>Authorised Share Capital</t>
  </si>
  <si>
    <t>Cash &amp; Bank Balance</t>
  </si>
  <si>
    <t>Cash in hand</t>
  </si>
  <si>
    <t>Deposits</t>
  </si>
  <si>
    <t>As per Last year Balance Sheet</t>
  </si>
  <si>
    <t>Add: Addition during the year</t>
  </si>
  <si>
    <t>Investments</t>
  </si>
  <si>
    <t>Add: Interest on FD earned/accrued</t>
  </si>
  <si>
    <t>As per last year Balance Sheet</t>
  </si>
  <si>
    <t>Repair &amp; Maintenance Fund</t>
  </si>
  <si>
    <t>As per last Balance Sheet</t>
  </si>
  <si>
    <t>Income &amp; Expenditure Account</t>
  </si>
  <si>
    <t>HELENA VILLA CO-OPERATIVE HOUSING SOCIETY LIMITED</t>
  </si>
  <si>
    <t xml:space="preserve">Building Insurance </t>
  </si>
  <si>
    <t xml:space="preserve">Salaries </t>
  </si>
  <si>
    <t>Security Charges</t>
  </si>
  <si>
    <t>Pest Control Expense</t>
  </si>
  <si>
    <t>Depreciation</t>
  </si>
  <si>
    <t>Garage Tax</t>
  </si>
  <si>
    <t>Excess of Expenditure over Income</t>
  </si>
  <si>
    <t>Citizen Credit Bank</t>
  </si>
  <si>
    <t>MDCC Bank</t>
  </si>
  <si>
    <t>1 share of MDHF</t>
  </si>
  <si>
    <t>Share with MDCC</t>
  </si>
  <si>
    <t>Repairs &amp; Painting Fund</t>
  </si>
  <si>
    <t>New Water Pipeline Fund</t>
  </si>
  <si>
    <t>Less: Depreciation 15%</t>
  </si>
  <si>
    <t>Lift Upgradation Fund</t>
  </si>
  <si>
    <t>Date</t>
  </si>
  <si>
    <t>Balance as per System</t>
  </si>
  <si>
    <t>Particulars</t>
  </si>
  <si>
    <t>Rate %</t>
  </si>
  <si>
    <t>Depreciation for the year</t>
  </si>
  <si>
    <t>CCTV</t>
  </si>
  <si>
    <t>Helena Villa CHS Ltd</t>
  </si>
  <si>
    <t>Letter Box</t>
  </si>
  <si>
    <t xml:space="preserve">Intercom </t>
  </si>
  <si>
    <t>Water pipe Enlargement</t>
  </si>
  <si>
    <t xml:space="preserve">Lift </t>
  </si>
  <si>
    <t>Less trfd to fund</t>
  </si>
  <si>
    <t>Helena Villa C.H.S. Ltd.</t>
  </si>
  <si>
    <t>Amount Invested</t>
  </si>
  <si>
    <t>Maturity Date</t>
  </si>
  <si>
    <t>Maturity Value</t>
  </si>
  <si>
    <t>Interest %</t>
  </si>
  <si>
    <t>Bank</t>
  </si>
  <si>
    <t>MDCC</t>
  </si>
  <si>
    <t>General Fund</t>
  </si>
  <si>
    <t>Grand Total</t>
  </si>
  <si>
    <t>22.03.2024</t>
  </si>
  <si>
    <t>17.03.2024</t>
  </si>
  <si>
    <t>Cupboard</t>
  </si>
  <si>
    <t>Prov</t>
  </si>
  <si>
    <t>Period</t>
  </si>
  <si>
    <t>Months</t>
  </si>
  <si>
    <t>Amount</t>
  </si>
  <si>
    <t>Interest on Security Deposit</t>
  </si>
  <si>
    <t xml:space="preserve">Water </t>
  </si>
  <si>
    <t>Water Tank Cleaning Charges</t>
  </si>
  <si>
    <t>Lift AMC</t>
  </si>
  <si>
    <t>Prepaid</t>
  </si>
  <si>
    <t>Intercom AMC</t>
  </si>
  <si>
    <t>CCTV AMC</t>
  </si>
  <si>
    <t>FY 22-23</t>
  </si>
  <si>
    <t>R&amp;M - Electrical</t>
  </si>
  <si>
    <t xml:space="preserve">R&amp;M - Water Pump </t>
  </si>
  <si>
    <t xml:space="preserve">R&amp;M - Garden </t>
  </si>
  <si>
    <t>AMC - Lift</t>
  </si>
  <si>
    <t>AMC - Intercom</t>
  </si>
  <si>
    <t>AMC - CCTV</t>
  </si>
  <si>
    <t>Pest Control</t>
  </si>
  <si>
    <t>Professional Fees</t>
  </si>
  <si>
    <t>Miscellaneous Expense</t>
  </si>
  <si>
    <t>Total (a)</t>
  </si>
  <si>
    <t>Total (b)</t>
  </si>
  <si>
    <t>Total (c)</t>
  </si>
  <si>
    <t>Total (d)</t>
  </si>
  <si>
    <t>FY 2022-23</t>
  </si>
  <si>
    <t>Education &amp; Training Fund</t>
  </si>
  <si>
    <t>Total (e)</t>
  </si>
  <si>
    <t>Total (a+b+c+d+e)</t>
  </si>
  <si>
    <t>Sl.No</t>
  </si>
  <si>
    <t xml:space="preserve">Insurance </t>
  </si>
  <si>
    <r>
      <t>Accrued Interest -</t>
    </r>
    <r>
      <rPr>
        <b/>
        <sz val="11"/>
        <color theme="1"/>
        <rFont val="Calibri"/>
        <family val="2"/>
        <scheme val="minor"/>
      </rPr>
      <t xml:space="preserve"> (Sch I)</t>
    </r>
  </si>
  <si>
    <t>Fixed Assets - (Sch II)</t>
  </si>
  <si>
    <t>Advance from Members - (Sch IV)</t>
  </si>
  <si>
    <t>Flat No.</t>
  </si>
  <si>
    <t>Member's Names</t>
  </si>
  <si>
    <t>Repair &amp; Maintenance - (Sch V)</t>
  </si>
  <si>
    <t>Schedule V - Repair and Maintenance Expense</t>
  </si>
  <si>
    <t>Helena Villa Chs Ltd</t>
  </si>
  <si>
    <t>Days</t>
  </si>
  <si>
    <t>Balance as per Pass Book</t>
  </si>
  <si>
    <t>Helena Villa CHS Ltd.</t>
  </si>
  <si>
    <t>25% of Surplus trfd to Reserves</t>
  </si>
  <si>
    <t>Add: 25% of Surplus</t>
  </si>
  <si>
    <t>Security Deposit with Adani</t>
  </si>
  <si>
    <t>FY 23-24</t>
  </si>
  <si>
    <t>Schedule IV -Members Advance as on 31st March 2024</t>
  </si>
  <si>
    <t>FY 2023-24</t>
  </si>
  <si>
    <t>Schedule - III Reserve and Surplus Fund as on 31st March 2024</t>
  </si>
  <si>
    <t>Schedule I : Details of Fixed Deposits as on 31st March 2024</t>
  </si>
  <si>
    <t>Sch II -Fixed Assets as on 31st March 2024</t>
  </si>
  <si>
    <t>Opening W.D.V. as on 01.04.2023</t>
  </si>
  <si>
    <t>Additions during the year before 30.09.2023</t>
  </si>
  <si>
    <t>Additions during the year after 30.09.2023</t>
  </si>
  <si>
    <t>Gross Block (at cost) as on 31.03.2024</t>
  </si>
  <si>
    <t>Closing W.D.V. as on 31.03.2024</t>
  </si>
  <si>
    <t>Citizen Credit  Bank reconciliation statement as on 31st March 2024</t>
  </si>
  <si>
    <t>MDCC  Bank reconciliation statement as on 31st March 2024</t>
  </si>
  <si>
    <t>INCOME &amp; EXPENDITURE ACCOUNT FOR THE YEAR ENDED 31ST MARCH 2024</t>
  </si>
  <si>
    <t>2022-23</t>
  </si>
  <si>
    <t>2023-24</t>
  </si>
  <si>
    <t>BALANCE  SHEET AS ON 31ST MARCH 2024</t>
  </si>
  <si>
    <t>Chq no</t>
  </si>
  <si>
    <t>Comment</t>
  </si>
  <si>
    <t>Cleared on</t>
  </si>
  <si>
    <t>Sweeper salary</t>
  </si>
  <si>
    <t>Sumanji</t>
  </si>
  <si>
    <t>Gangadhar</t>
  </si>
  <si>
    <t>15.04.2024</t>
  </si>
  <si>
    <t>02.04.2024</t>
  </si>
  <si>
    <t>31.03.2024</t>
  </si>
  <si>
    <t>Add: Cheques issued but not cleared as on 31.03.24</t>
  </si>
  <si>
    <t>Accrued Int. 2023-24</t>
  </si>
  <si>
    <t>22.03.2026</t>
  </si>
  <si>
    <t>Bonus</t>
  </si>
  <si>
    <t>R&amp;M - Others</t>
  </si>
  <si>
    <t>Bank Charges</t>
  </si>
  <si>
    <t>Less: Trfd to Painting Fund</t>
  </si>
  <si>
    <t>Less: Trfd to Sinking Fund</t>
  </si>
  <si>
    <t>Helena Villa CHS - Income - Non Members &gt; Interest Income - Fixed Deposit  ( 306002 ) &lt;br&gt;Transactions From 01-04-2023 to 31-03-2024</t>
  </si>
  <si>
    <t>Journal No.</t>
  </si>
  <si>
    <t>Posted Date</t>
  </si>
  <si>
    <t>Comments</t>
  </si>
  <si>
    <t>Credit</t>
  </si>
  <si>
    <t>JE-2023-0000015</t>
  </si>
  <si>
    <t>15-04-2023</t>
  </si>
  <si>
    <t>Being FD 47507 redeemed on maturity - GF</t>
  </si>
  <si>
    <t>GF</t>
  </si>
  <si>
    <t>JE-2023-0000016</t>
  </si>
  <si>
    <t>24-04-2023</t>
  </si>
  <si>
    <t>Being FD 47539 redeemed on maturity - GF</t>
  </si>
  <si>
    <t>PF</t>
  </si>
  <si>
    <t>JE-2023-0000017</t>
  </si>
  <si>
    <t>Being FD 47540 redeemed on maturity - GF</t>
  </si>
  <si>
    <t>SF</t>
  </si>
  <si>
    <t>JE-2023-0000018</t>
  </si>
  <si>
    <t>Being FD 47541 redeemed on maturity - GF</t>
  </si>
  <si>
    <t>JE-2023-0000019</t>
  </si>
  <si>
    <t>Being FD 47542 redeemed on maturity - GF</t>
  </si>
  <si>
    <t>JE-2023-0000109</t>
  </si>
  <si>
    <t>30-06-2023</t>
  </si>
  <si>
    <t>Being interest recd on FD   1000459 PF CCB</t>
  </si>
  <si>
    <t>JE-2023-0000110</t>
  </si>
  <si>
    <t>30-09-2023</t>
  </si>
  <si>
    <t>JE-2023-0000093</t>
  </si>
  <si>
    <t>13-10-2023</t>
  </si>
  <si>
    <t>Being FD 1001025 redeemed on maturity GF CCB</t>
  </si>
  <si>
    <t>JE-2023-0000111</t>
  </si>
  <si>
    <t>22-10-2023</t>
  </si>
  <si>
    <t>JE-2023-0000112</t>
  </si>
  <si>
    <t>23-10-2023</t>
  </si>
  <si>
    <t>Being FD 1000459 redeemed on maturity PF CCB</t>
  </si>
  <si>
    <t>JE-2023-0000094</t>
  </si>
  <si>
    <t>Being FD 21001097 redeemed on maturity GF CCB</t>
  </si>
  <si>
    <t>JE-2023-0000089</t>
  </si>
  <si>
    <t>25-10-2023</t>
  </si>
  <si>
    <t>Being FD 30524 R06 redeemed on maturity PF CCB</t>
  </si>
  <si>
    <t>JE-2023-0000090</t>
  </si>
  <si>
    <t>20-11-2023</t>
  </si>
  <si>
    <t>Being FD 3053697 R01 redeemed on maturity PF CCB</t>
  </si>
  <si>
    <t>JE-2023-0000095</t>
  </si>
  <si>
    <t>26-12-2023</t>
  </si>
  <si>
    <t>Being FD 21000911 redeemed on maturity PF CCB</t>
  </si>
  <si>
    <t>JE-2023-0000096</t>
  </si>
  <si>
    <t>10-01-2024</t>
  </si>
  <si>
    <t>Being FD 3051949 R04 redeemed on maturity PF CCB</t>
  </si>
  <si>
    <t>JE-2023-0000104</t>
  </si>
  <si>
    <t>20-02-2024</t>
  </si>
  <si>
    <t>Being FD 825414 3052448 R03 redeemed on maturity PF CCB</t>
  </si>
  <si>
    <t>JE-2023-0000103</t>
  </si>
  <si>
    <t>Being FD 724558 310145 R01 redeemed on maturity  PF CCB</t>
  </si>
  <si>
    <t>JE-2023-0000102</t>
  </si>
  <si>
    <t>Being FD 305681981 R06 redeemed on maturity PF CCB</t>
  </si>
  <si>
    <t>JE-2023-0000074</t>
  </si>
  <si>
    <t>22-02-2024</t>
  </si>
  <si>
    <t>Being MDCC FD redeemed, FD No. 12298</t>
  </si>
  <si>
    <t>JE-2023-0000105</t>
  </si>
  <si>
    <t>06-03-2024</t>
  </si>
  <si>
    <t>Being FD 101043101000769  redeemed on maturity PF CCB</t>
  </si>
  <si>
    <t>JE-2023-0000092</t>
  </si>
  <si>
    <t>Being FD 3053482 R02 redeemed on maturity PF CCB</t>
  </si>
  <si>
    <t>JE-2023-0000091</t>
  </si>
  <si>
    <t>Being FD 3053862 redeemed on maturity PF CCB</t>
  </si>
  <si>
    <t>JE-2023-0000107</t>
  </si>
  <si>
    <t>17-03-2024</t>
  </si>
  <si>
    <t>Being old Fd 42476 R11 renewed vide new Fd 42476 R12 SF CCB</t>
  </si>
  <si>
    <t>JE-2023-0000078</t>
  </si>
  <si>
    <t>22-03-2024</t>
  </si>
  <si>
    <t>Being MDCC FD redeemed, FD No. 10578</t>
  </si>
  <si>
    <t>JE-2023-0000075</t>
  </si>
  <si>
    <t>Being MDCC FD redeemed, FD No. 10707</t>
  </si>
  <si>
    <t>JE-2023-0000076</t>
  </si>
  <si>
    <t>Being MDCC FD redeemed, FD No. 10706</t>
  </si>
  <si>
    <t>JE-2023-0000077</t>
  </si>
  <si>
    <t>Being MDCC FD redeemed, FD No. 10591</t>
  </si>
  <si>
    <t>JE-2023-0000072</t>
  </si>
  <si>
    <t>Being MDCC FD redeemed, FD No. 10708</t>
  </si>
  <si>
    <t>JE-2023-0000061</t>
  </si>
  <si>
    <t>Being FD redeemed, FD No. 10055</t>
  </si>
  <si>
    <t>JE-2023-0000062</t>
  </si>
  <si>
    <t>Being FD redeemed, FD No. 10421</t>
  </si>
  <si>
    <t>JE-2023-0000067</t>
  </si>
  <si>
    <t>Being MDCC FD redeemed, FD No. 09445</t>
  </si>
  <si>
    <t>JE-2023-0000073</t>
  </si>
  <si>
    <t>Being MDCC FD redeemed, FD No. 12532</t>
  </si>
  <si>
    <t>JE-2023-0000071</t>
  </si>
  <si>
    <t>Being MDCC FD redeemed, FD No. 13169</t>
  </si>
  <si>
    <t>JE-2023-0000070</t>
  </si>
  <si>
    <t>Being MDCC FD redeemed, FD No. 13811</t>
  </si>
  <si>
    <t>JE-2023-0000069</t>
  </si>
  <si>
    <t>Being MDCC FD redeemed, FD No. 14129</t>
  </si>
  <si>
    <t>JE-2023-0000068</t>
  </si>
  <si>
    <t>Being MDCC FD redeemed, FD No. 14462</t>
  </si>
  <si>
    <t>JE-2023-0000063</t>
  </si>
  <si>
    <t>Being MDCC FD redeemed, FD No. 10319</t>
  </si>
  <si>
    <t>JE-2023-0000066</t>
  </si>
  <si>
    <t>Being MDCC FD redeemed, FD No. 14740</t>
  </si>
  <si>
    <t>JE-2023-0000065</t>
  </si>
  <si>
    <t>Being MDCC FD redeemed, FD No. 11380</t>
  </si>
  <si>
    <t>JE-2023-0000064</t>
  </si>
  <si>
    <t>Being MDCC FD redeemed, FD No. 09642</t>
  </si>
  <si>
    <t>JE-2023-0000101</t>
  </si>
  <si>
    <t>31-03-2024</t>
  </si>
  <si>
    <t>Being interest accrued on FD   1003962 GF CCB</t>
  </si>
  <si>
    <t>JE-2023-0000100</t>
  </si>
  <si>
    <t>Being interest accrued on FD   1003957 GF CCB</t>
  </si>
  <si>
    <t>JE-2023-0000099</t>
  </si>
  <si>
    <t>Being interest accrued on FD   1003941 GF CCB</t>
  </si>
  <si>
    <t>JE-2023-0000088</t>
  </si>
  <si>
    <t>Being interest accrued on FD   15318 SF MDCC</t>
  </si>
  <si>
    <t>JE-2023-0000106</t>
  </si>
  <si>
    <t>Being interest accrued on FD   1004194 GF CCB</t>
  </si>
  <si>
    <t>JE-2023-0000087</t>
  </si>
  <si>
    <t>Being interest accrued on FD   15320 SF MDCC</t>
  </si>
  <si>
    <t>JE-2023-0000108</t>
  </si>
  <si>
    <t>Being interest accrued on FD   542476 SF CCB</t>
  </si>
  <si>
    <t>JE-2023-0000098</t>
  </si>
  <si>
    <t>Being interest accrued on FD   1003938 GF CCB</t>
  </si>
  <si>
    <t>JE-2023-0000097</t>
  </si>
  <si>
    <t>Being interest accrued on FD   1003921 GF CCB</t>
  </si>
  <si>
    <t>Interest on IT refund</t>
  </si>
  <si>
    <t>Sale of Scrap</t>
  </si>
  <si>
    <t>CCB</t>
  </si>
  <si>
    <t>18.03.2024</t>
  </si>
  <si>
    <t>12.02.2024</t>
  </si>
  <si>
    <t>Total Depreciation for FY 23-24</t>
  </si>
  <si>
    <t>Retention Sejal Construction</t>
  </si>
  <si>
    <t>MR. ERIC LEWIS &amp; MR.MAXIE LEWIS</t>
  </si>
  <si>
    <t>MR. PAUL J. D'SOUZA &amp; MRS. VIRGINIA M. D'SOUZA</t>
  </si>
  <si>
    <t>MR. MALCOLM J. FERNANDES</t>
  </si>
  <si>
    <t>MR. JIBU VARGHESE THETHAYIL</t>
  </si>
  <si>
    <t>Less: Major Repair Expense</t>
  </si>
  <si>
    <t>Less : Trfd to liability</t>
  </si>
  <si>
    <t>Income tax Expense</t>
  </si>
  <si>
    <t>TDS Receivables</t>
  </si>
  <si>
    <t>Income tax</t>
  </si>
  <si>
    <t>Less: Excess of Expenditure over Income</t>
  </si>
  <si>
    <t>(30000 Shares of Rs. 50 each)</t>
  </si>
  <si>
    <t>(70 shares of Rs. 50/- each )</t>
  </si>
  <si>
    <t>By Excess of Expenditure over Income</t>
  </si>
  <si>
    <t>For HELENA VILLA CO-OP HOUSING SOCIETY LTD.</t>
  </si>
  <si>
    <t>Current Liabilities &amp; Provisions :</t>
  </si>
  <si>
    <t>Issued, Subscribed and Paid Up Share Capital</t>
  </si>
  <si>
    <t>Fixed Deposits - (Sch I)</t>
  </si>
  <si>
    <t>Prepaid Expenses:</t>
  </si>
  <si>
    <t>Other Current Assets:</t>
  </si>
  <si>
    <t>Building Insurance Charges</t>
  </si>
  <si>
    <t>For HELENA VILLA CO-OP. HOUSING SOCIETY LTD.</t>
  </si>
  <si>
    <t>(Shankar D. Gawde)</t>
  </si>
  <si>
    <t>Date : 12.07.2024</t>
  </si>
  <si>
    <t>Gen. Reserve and Surplus Fund - (Sch III)</t>
  </si>
  <si>
    <t>Major Repair Expenses</t>
  </si>
  <si>
    <t>Amount (Rs.)</t>
  </si>
  <si>
    <t>Member's Name</t>
  </si>
  <si>
    <t>FDR No.</t>
  </si>
  <si>
    <t>(Amt in Rs.)</t>
  </si>
  <si>
    <t>Schedule V - Repair and Maintenance Expenses</t>
  </si>
  <si>
    <t>Helena Villa C.H.S. Ltd</t>
  </si>
  <si>
    <t>(Regd. No MUM/WP/HSG/TC/12195 DATED 19-09-2003)</t>
  </si>
  <si>
    <t>(Amt. in Rs.)</t>
  </si>
  <si>
    <t xml:space="preserve">   Secretary </t>
  </si>
  <si>
    <t>Govt. Certified Auditor - Panel No. 14428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</si>
</sst>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</cellStyleXfs>
  <cellXfs count="210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  <xf numFmtId="43" fontId="5" fillId="0" borderId="5" xfId="1" applyFont="1" applyFill="1" applyBorder="1"/>
    <xf numFmtId="43" fontId="5" fillId="0" borderId="0" xfId="0" applyNumberFormat="1" applyFont="1"/>
    <xf numFmtId="164" fontId="5" fillId="0" borderId="0" xfId="0" applyNumberFormat="1" applyFont="1"/>
    <xf numFmtId="164" fontId="4" fillId="0" borderId="0" xfId="0" applyNumberFormat="1" applyFont="1"/>
    <xf numFmtId="43" fontId="5" fillId="0" borderId="4" xfId="1" applyFont="1" applyFill="1" applyBorder="1"/>
    <xf numFmtId="0" fontId="3" fillId="0" borderId="0" xfId="0" applyFont="1"/>
    <xf numFmtId="164" fontId="3" fillId="0" borderId="0" xfId="0" applyNumberFormat="1" applyFont="1"/>
    <xf numFmtId="165" fontId="5" fillId="0" borderId="0" xfId="0" applyNumberFormat="1" applyFont="1"/>
    <xf numFmtId="43" fontId="5" fillId="0" borderId="6" xfId="1" applyFont="1" applyFill="1" applyBorder="1"/>
    <xf numFmtId="43" fontId="5" fillId="0" borderId="0" xfId="1" applyFont="1" applyFill="1" applyBorder="1"/>
    <xf numFmtId="43" fontId="4" fillId="0" borderId="0" xfId="1" applyFont="1" applyFill="1" applyBorder="1"/>
    <xf numFmtId="43" fontId="4" fillId="0" borderId="0" xfId="0" applyNumberFormat="1" applyFont="1"/>
    <xf numFmtId="0" fontId="4" fillId="0" borderId="0" xfId="0" applyFont="1" applyAlignment="1">
      <alignment horizontal="center"/>
    </xf>
    <xf numFmtId="43" fontId="5" fillId="0" borderId="0" xfId="1" applyFont="1" applyFill="1" applyAlignment="1">
      <alignment horizontal="left"/>
    </xf>
    <xf numFmtId="43" fontId="5" fillId="0" borderId="0" xfId="1" applyFont="1" applyFill="1"/>
    <xf numFmtId="165" fontId="4" fillId="0" borderId="0" xfId="0" applyNumberFormat="1" applyFont="1"/>
    <xf numFmtId="43" fontId="4" fillId="0" borderId="0" xfId="1" applyFont="1" applyFill="1"/>
    <xf numFmtId="43" fontId="7" fillId="0" borderId="0" xfId="0" applyNumberFormat="1" applyFont="1"/>
    <xf numFmtId="2" fontId="5" fillId="0" borderId="0" xfId="0" applyNumberFormat="1" applyFont="1"/>
    <xf numFmtId="2" fontId="4" fillId="0" borderId="0" xfId="0" applyNumberFormat="1" applyFont="1"/>
    <xf numFmtId="0" fontId="2" fillId="0" borderId="0" xfId="0" applyFont="1"/>
    <xf numFmtId="2" fontId="0" fillId="0" borderId="5" xfId="0" applyNumberFormat="1" applyBorder="1"/>
    <xf numFmtId="0" fontId="0" fillId="0" borderId="5" xfId="0" applyBorder="1"/>
    <xf numFmtId="43" fontId="0" fillId="0" borderId="0" xfId="1" applyFont="1" applyFill="1" applyBorder="1"/>
    <xf numFmtId="43" fontId="5" fillId="0" borderId="5" xfId="1" applyFont="1" applyBorder="1"/>
    <xf numFmtId="43" fontId="0" fillId="0" borderId="4" xfId="1" applyFont="1" applyFill="1" applyBorder="1"/>
    <xf numFmtId="0" fontId="2" fillId="0" borderId="5" xfId="0" applyFont="1" applyBorder="1"/>
    <xf numFmtId="164" fontId="0" fillId="0" borderId="0" xfId="0" applyNumberFormat="1"/>
    <xf numFmtId="43" fontId="0" fillId="0" borderId="5" xfId="1" applyFont="1" applyBorder="1"/>
    <xf numFmtId="43" fontId="0" fillId="0" borderId="0" xfId="1" applyFont="1" applyBorder="1"/>
    <xf numFmtId="43" fontId="0" fillId="0" borderId="0" xfId="0" applyNumberFormat="1"/>
    <xf numFmtId="43" fontId="5" fillId="0" borderId="0" xfId="1" applyFont="1" applyBorder="1"/>
    <xf numFmtId="43" fontId="0" fillId="0" borderId="0" xfId="1" applyFont="1"/>
    <xf numFmtId="0" fontId="0" fillId="0" borderId="2" xfId="0" applyBorder="1"/>
    <xf numFmtId="0" fontId="5" fillId="0" borderId="5" xfId="0" applyFont="1" applyBorder="1"/>
    <xf numFmtId="43" fontId="0" fillId="0" borderId="4" xfId="1" applyFont="1" applyBorder="1"/>
    <xf numFmtId="0" fontId="2" fillId="0" borderId="0" xfId="0" applyFont="1" applyAlignment="1">
      <alignment horizontal="center"/>
    </xf>
    <xf numFmtId="165" fontId="2" fillId="0" borderId="0" xfId="0" applyNumberFormat="1" applyFont="1"/>
    <xf numFmtId="165" fontId="0" fillId="0" borderId="0" xfId="0" applyNumberFormat="1"/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43" fontId="2" fillId="0" borderId="10" xfId="0" applyNumberFormat="1" applyFont="1" applyBorder="1"/>
    <xf numFmtId="1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5" fillId="0" borderId="6" xfId="0" applyFont="1" applyBorder="1"/>
    <xf numFmtId="0" fontId="4" fillId="0" borderId="6" xfId="0" applyFont="1" applyBorder="1" applyAlignment="1">
      <alignment horizontal="center"/>
    </xf>
    <xf numFmtId="43" fontId="2" fillId="0" borderId="6" xfId="0" applyNumberFormat="1" applyFont="1" applyBorder="1"/>
    <xf numFmtId="43" fontId="5" fillId="0" borderId="11" xfId="1" applyFont="1" applyFill="1" applyBorder="1"/>
    <xf numFmtId="43" fontId="4" fillId="0" borderId="12" xfId="1" applyFont="1" applyFill="1" applyBorder="1"/>
    <xf numFmtId="0" fontId="6" fillId="0" borderId="0" xfId="0" applyFont="1"/>
    <xf numFmtId="43" fontId="4" fillId="0" borderId="9" xfId="1" applyFont="1" applyFill="1" applyBorder="1"/>
    <xf numFmtId="0" fontId="12" fillId="0" borderId="6" xfId="3" applyFont="1" applyBorder="1" applyAlignment="1">
      <alignment horizontal="center"/>
    </xf>
    <xf numFmtId="1" fontId="11" fillId="0" borderId="6" xfId="3" applyNumberFormat="1" applyBorder="1" applyAlignment="1">
      <alignment horizontal="center"/>
    </xf>
    <xf numFmtId="0" fontId="2" fillId="0" borderId="9" xfId="0" applyFont="1" applyBorder="1"/>
    <xf numFmtId="43" fontId="5" fillId="0" borderId="14" xfId="1" applyFont="1" applyBorder="1"/>
    <xf numFmtId="43" fontId="4" fillId="0" borderId="15" xfId="1" applyFont="1" applyBorder="1"/>
    <xf numFmtId="43" fontId="5" fillId="0" borderId="11" xfId="1" applyFont="1" applyBorder="1"/>
    <xf numFmtId="43" fontId="4" fillId="0" borderId="9" xfId="1" applyFont="1" applyBorder="1"/>
    <xf numFmtId="165" fontId="4" fillId="0" borderId="9" xfId="0" applyNumberFormat="1" applyFont="1" applyBorder="1"/>
    <xf numFmtId="43" fontId="5" fillId="0" borderId="8" xfId="1" applyFont="1" applyBorder="1"/>
    <xf numFmtId="43" fontId="2" fillId="0" borderId="9" xfId="0" applyNumberFormat="1" applyFont="1" applyBorder="1"/>
    <xf numFmtId="43" fontId="2" fillId="0" borderId="12" xfId="1" applyFont="1" applyBorder="1"/>
    <xf numFmtId="43" fontId="2" fillId="0" borderId="12" xfId="1" applyFont="1" applyFill="1" applyBorder="1"/>
    <xf numFmtId="43" fontId="1" fillId="0" borderId="9" xfId="1" applyFont="1" applyBorder="1"/>
    <xf numFmtId="43" fontId="2" fillId="0" borderId="9" xfId="1" applyFont="1" applyBorder="1"/>
    <xf numFmtId="43" fontId="2" fillId="0" borderId="0" xfId="1" applyFont="1" applyBorder="1"/>
    <xf numFmtId="0" fontId="0" fillId="0" borderId="11" xfId="0" applyBorder="1"/>
    <xf numFmtId="0" fontId="2" fillId="0" borderId="12" xfId="0" applyFont="1" applyBorder="1"/>
    <xf numFmtId="0" fontId="2" fillId="0" borderId="10" xfId="0" applyFont="1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2" fontId="0" fillId="0" borderId="0" xfId="0" applyNumberFormat="1"/>
    <xf numFmtId="43" fontId="5" fillId="2" borderId="6" xfId="1" applyFont="1" applyFill="1" applyBorder="1"/>
    <xf numFmtId="0" fontId="12" fillId="0" borderId="0" xfId="0" applyFont="1"/>
    <xf numFmtId="0" fontId="11" fillId="0" borderId="0" xfId="0" applyFont="1"/>
    <xf numFmtId="4" fontId="0" fillId="0" borderId="0" xfId="0" applyNumberFormat="1"/>
    <xf numFmtId="43" fontId="12" fillId="0" borderId="6" xfId="1" applyFont="1" applyBorder="1"/>
    <xf numFmtId="43" fontId="11" fillId="0" borderId="6" xfId="1" applyFont="1" applyBorder="1"/>
    <xf numFmtId="0" fontId="8" fillId="0" borderId="0" xfId="0" applyFont="1"/>
    <xf numFmtId="0" fontId="9" fillId="0" borderId="0" xfId="0" applyFont="1" applyAlignment="1">
      <alignment horizontal="center"/>
    </xf>
    <xf numFmtId="43" fontId="4" fillId="0" borderId="16" xfId="1" applyFont="1" applyFill="1" applyBorder="1"/>
    <xf numFmtId="43" fontId="4" fillId="0" borderId="20" xfId="1" applyFont="1" applyFill="1" applyBorder="1"/>
    <xf numFmtId="43" fontId="4" fillId="0" borderId="19" xfId="1" applyFont="1" applyFill="1" applyBorder="1"/>
    <xf numFmtId="0" fontId="2" fillId="0" borderId="0" xfId="0" applyFont="1" applyAlignment="1">
      <alignment horizontal="left"/>
    </xf>
    <xf numFmtId="43" fontId="2" fillId="0" borderId="0" xfId="0" applyNumberFormat="1" applyFont="1"/>
    <xf numFmtId="0" fontId="5" fillId="0" borderId="2" xfId="0" applyFont="1" applyBorder="1"/>
    <xf numFmtId="43" fontId="2" fillId="0" borderId="16" xfId="1" applyFont="1" applyBorder="1"/>
    <xf numFmtId="0" fontId="2" fillId="0" borderId="17" xfId="0" applyFont="1" applyBorder="1" applyAlignment="1">
      <alignment horizontal="center"/>
    </xf>
    <xf numFmtId="43" fontId="2" fillId="0" borderId="19" xfId="1" applyFont="1" applyBorder="1"/>
    <xf numFmtId="43" fontId="2" fillId="0" borderId="18" xfId="1" applyFont="1" applyBorder="1"/>
    <xf numFmtId="43" fontId="5" fillId="0" borderId="4" xfId="1" applyFont="1" applyBorder="1"/>
    <xf numFmtId="0" fontId="8" fillId="0" borderId="5" xfId="0" applyFont="1" applyBorder="1"/>
    <xf numFmtId="0" fontId="8" fillId="0" borderId="2" xfId="0" applyFont="1" applyBorder="1"/>
    <xf numFmtId="0" fontId="0" fillId="0" borderId="0" xfId="0" applyAlignment="1">
      <alignment horizontal="left"/>
    </xf>
    <xf numFmtId="43" fontId="2" fillId="0" borderId="17" xfId="0" applyNumberFormat="1" applyFont="1" applyBorder="1"/>
    <xf numFmtId="43" fontId="2" fillId="0" borderId="20" xfId="0" applyNumberFormat="1" applyFont="1" applyBorder="1"/>
    <xf numFmtId="1" fontId="11" fillId="0" borderId="4" xfId="3" applyNumberFormat="1" applyBorder="1" applyAlignment="1">
      <alignment horizontal="center"/>
    </xf>
    <xf numFmtId="0" fontId="0" fillId="0" borderId="4" xfId="0" applyBorder="1" applyAlignment="1">
      <alignment horizontal="left"/>
    </xf>
    <xf numFmtId="43" fontId="11" fillId="0" borderId="4" xfId="1" applyFont="1" applyBorder="1"/>
    <xf numFmtId="0" fontId="12" fillId="0" borderId="20" xfId="3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43" fontId="12" fillId="0" borderId="20" xfId="1" applyFont="1" applyBorder="1"/>
    <xf numFmtId="43" fontId="12" fillId="0" borderId="20" xfId="1" applyFont="1" applyBorder="1" applyAlignment="1">
      <alignment horizontal="center"/>
    </xf>
    <xf numFmtId="2" fontId="2" fillId="0" borderId="20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2" fillId="0" borderId="21" xfId="3" applyFont="1" applyBorder="1" applyAlignment="1">
      <alignment horizontal="center"/>
    </xf>
    <xf numFmtId="0" fontId="12" fillId="0" borderId="1" xfId="3" applyFont="1" applyBorder="1" applyAlignment="1">
      <alignment horizontal="center"/>
    </xf>
    <xf numFmtId="0" fontId="12" fillId="0" borderId="22" xfId="3" applyFont="1" applyBorder="1" applyAlignment="1">
      <alignment horizontal="center"/>
    </xf>
    <xf numFmtId="43" fontId="5" fillId="0" borderId="20" xfId="1" applyFont="1" applyBorder="1"/>
    <xf numFmtId="0" fontId="6" fillId="0" borderId="10" xfId="0" applyFont="1" applyBorder="1" applyAlignment="1">
      <alignment horizontal="center"/>
    </xf>
    <xf numFmtId="43" fontId="5" fillId="0" borderId="20" xfId="1" applyFont="1" applyFill="1" applyBorder="1"/>
    <xf numFmtId="2" fontId="0" fillId="0" borderId="20" xfId="0" applyNumberFormat="1" applyBorder="1"/>
    <xf numFmtId="0" fontId="4" fillId="0" borderId="10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43" fontId="0" fillId="0" borderId="5" xfId="2" applyFont="1" applyBorder="1" applyAlignment="1">
      <alignment horizontal="center" vertical="center"/>
    </xf>
    <xf numFmtId="43" fontId="0" fillId="0" borderId="5" xfId="1" applyFont="1" applyBorder="1" applyAlignment="1">
      <alignment vertical="center"/>
    </xf>
    <xf numFmtId="43" fontId="0" fillId="0" borderId="5" xfId="2" applyFont="1" applyBorder="1" applyAlignment="1">
      <alignment vertical="center"/>
    </xf>
    <xf numFmtId="43" fontId="0" fillId="0" borderId="5" xfId="2" applyFont="1" applyFill="1" applyBorder="1" applyAlignment="1">
      <alignment vertical="center"/>
    </xf>
    <xf numFmtId="43" fontId="0" fillId="0" borderId="9" xfId="2" applyFont="1" applyBorder="1" applyAlignment="1">
      <alignment vertical="center"/>
    </xf>
    <xf numFmtId="0" fontId="0" fillId="0" borderId="0" xfId="0" applyAlignment="1">
      <alignment vertical="center"/>
    </xf>
    <xf numFmtId="43" fontId="0" fillId="0" borderId="5" xfId="2" applyFont="1" applyFill="1" applyBorder="1" applyAlignment="1">
      <alignment horizontal="center" vertical="center"/>
    </xf>
    <xf numFmtId="43" fontId="0" fillId="0" borderId="9" xfId="2" applyFont="1" applyFill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43" fontId="2" fillId="0" borderId="20" xfId="0" applyNumberFormat="1" applyFont="1" applyBorder="1" applyAlignment="1">
      <alignment vertical="center"/>
    </xf>
    <xf numFmtId="43" fontId="2" fillId="0" borderId="19" xfId="0" applyNumberFormat="1" applyFont="1" applyBorder="1" applyAlignment="1">
      <alignment vertical="center"/>
    </xf>
    <xf numFmtId="0" fontId="10" fillId="0" borderId="0" xfId="0" applyFont="1"/>
    <xf numFmtId="43" fontId="0" fillId="0" borderId="6" xfId="0" applyNumberFormat="1" applyBorder="1"/>
    <xf numFmtId="43" fontId="0" fillId="0" borderId="6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43" fontId="0" fillId="0" borderId="6" xfId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7" xfId="0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5" fillId="0" borderId="4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4" fillId="0" borderId="7" xfId="0" applyFont="1" applyBorder="1" applyAlignment="1">
      <alignment horizontal="right"/>
    </xf>
    <xf numFmtId="0" fontId="15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2" fillId="0" borderId="23" xfId="3" applyFont="1" applyBorder="1" applyAlignment="1">
      <alignment horizontal="center"/>
    </xf>
    <xf numFmtId="0" fontId="12" fillId="0" borderId="13" xfId="3" applyFont="1" applyBorder="1" applyAlignment="1">
      <alignment horizontal="center"/>
    </xf>
    <xf numFmtId="0" fontId="12" fillId="0" borderId="24" xfId="3" applyFont="1" applyBorder="1" applyAlignment="1">
      <alignment horizontal="center"/>
    </xf>
    <xf numFmtId="0" fontId="12" fillId="0" borderId="6" xfId="3" applyFont="1" applyBorder="1" applyAlignment="1">
      <alignment horizontal="center"/>
    </xf>
    <xf numFmtId="0" fontId="12" fillId="0" borderId="6" xfId="3" applyFont="1" applyBorder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43" fontId="4" fillId="0" borderId="0" xfId="1" applyFont="1" applyFill="1" applyBorder="1" applyAlignment="1">
      <alignment horizontal="right"/>
    </xf>
    <xf numFmtId="0" fontId="6" fillId="0" borderId="21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164" fontId="4" fillId="0" borderId="0" xfId="0" applyNumberFormat="1" applyFont="1" applyBorder="1"/>
    <xf numFmtId="164" fontId="2" fillId="0" borderId="0" xfId="0" applyNumberFormat="1" applyFont="1" applyBorder="1"/>
    <xf numFmtId="164" fontId="4" fillId="0" borderId="17" xfId="0" applyNumberFormat="1" applyFont="1" applyBorder="1"/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2" fillId="0" borderId="0" xfId="0" applyFont="1" applyAlignment="1">
      <alignment horizontal="right"/>
    </xf>
    <xf numFmtId="43" fontId="2" fillId="0" borderId="0" xfId="1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/>
    </xf>
    <xf numFmtId="0" fontId="8" fillId="0" borderId="28" xfId="0" applyFont="1" applyBorder="1" applyAlignment="1">
      <alignment horizontal="center"/>
    </xf>
  </cellXfs>
  <cellStyles count="4">
    <cellStyle name="Comma" xfId="1" builtinId="3"/>
    <cellStyle name="Comma 2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2"/>
  <sheetViews>
    <sheetView tabSelected="1" workbookViewId="0">
      <selection activeCell="B14" sqref="B14"/>
    </sheetView>
  </sheetViews>
  <sheetFormatPr defaultColWidth="13.1796875" defaultRowHeight="14.5" x14ac:dyDescent="0.35"/>
  <cols>
    <col min="1" max="1" width="14.1796875" customWidth="1"/>
    <col min="2" max="2" width="38.36328125" customWidth="1"/>
    <col min="3" max="3" width="13.26953125" style="36" bestFit="1" customWidth="1"/>
    <col min="4" max="4" width="12.54296875" style="24" bestFit="1" customWidth="1"/>
    <col min="5" max="5" width="13.26953125" bestFit="1" customWidth="1"/>
    <col min="6" max="6" width="30.54296875" customWidth="1"/>
    <col min="7" max="7" width="13.26953125" style="36" bestFit="1" customWidth="1"/>
    <col min="8" max="8" width="12.54296875" style="24" bestFit="1" customWidth="1"/>
    <col min="9" max="9" width="12.1796875" bestFit="1" customWidth="1"/>
  </cols>
  <sheetData>
    <row r="1" spans="1:10" ht="18.5" x14ac:dyDescent="0.45">
      <c r="A1" s="184" t="s">
        <v>44</v>
      </c>
      <c r="B1" s="184"/>
      <c r="C1" s="184"/>
      <c r="D1" s="184"/>
      <c r="E1" s="184"/>
      <c r="F1" s="184"/>
      <c r="G1" s="184"/>
      <c r="H1" s="184"/>
    </row>
    <row r="2" spans="1:10" x14ac:dyDescent="0.35">
      <c r="A2" s="173" t="s">
        <v>322</v>
      </c>
      <c r="B2" s="173"/>
      <c r="C2" s="173"/>
      <c r="D2" s="173"/>
      <c r="E2" s="173"/>
      <c r="F2" s="173"/>
      <c r="G2" s="173"/>
      <c r="H2" s="173"/>
    </row>
    <row r="3" spans="1:10" ht="35" customHeight="1" x14ac:dyDescent="0.35">
      <c r="A3" s="174"/>
      <c r="B3" s="174"/>
      <c r="C3" s="174"/>
      <c r="D3" s="174"/>
      <c r="E3" s="174"/>
      <c r="F3" s="174"/>
      <c r="G3" s="174"/>
      <c r="H3" s="174"/>
    </row>
    <row r="4" spans="1:10" ht="18.5" x14ac:dyDescent="0.45">
      <c r="A4" s="198" t="s">
        <v>145</v>
      </c>
      <c r="B4" s="198"/>
      <c r="C4" s="198"/>
      <c r="D4" s="198"/>
      <c r="E4" s="198"/>
      <c r="F4" s="198"/>
      <c r="G4" s="198"/>
      <c r="H4" s="198"/>
    </row>
    <row r="5" spans="1:10" ht="19" customHeight="1" x14ac:dyDescent="0.35">
      <c r="A5" s="174"/>
      <c r="B5" s="174"/>
      <c r="C5" s="174"/>
      <c r="D5" s="174"/>
      <c r="E5" s="174"/>
      <c r="F5" s="174"/>
      <c r="G5" s="174"/>
      <c r="H5" s="199" t="s">
        <v>323</v>
      </c>
    </row>
    <row r="6" spans="1:10" x14ac:dyDescent="0.35">
      <c r="A6" s="200" t="s">
        <v>0</v>
      </c>
      <c r="B6" s="201" t="s">
        <v>30</v>
      </c>
      <c r="C6" s="202"/>
      <c r="D6" s="203" t="s">
        <v>2</v>
      </c>
      <c r="E6" s="204" t="s">
        <v>0</v>
      </c>
      <c r="F6" s="201" t="s">
        <v>31</v>
      </c>
      <c r="G6" s="202"/>
      <c r="H6" s="203" t="s">
        <v>2</v>
      </c>
    </row>
    <row r="7" spans="1:10" ht="15" thickBot="1" x14ac:dyDescent="0.4">
      <c r="A7" s="205" t="s">
        <v>143</v>
      </c>
      <c r="B7" s="206"/>
      <c r="C7" s="207"/>
      <c r="D7" s="208" t="s">
        <v>144</v>
      </c>
      <c r="E7" s="209" t="str">
        <f>A7</f>
        <v>2022-23</v>
      </c>
      <c r="F7" s="206"/>
      <c r="G7" s="207"/>
      <c r="H7" s="208" t="str">
        <f>D7</f>
        <v>2023-24</v>
      </c>
    </row>
    <row r="8" spans="1:10" ht="15" thickTop="1" x14ac:dyDescent="0.35">
      <c r="A8" s="70"/>
      <c r="B8" s="82" t="s">
        <v>32</v>
      </c>
      <c r="C8" s="25"/>
      <c r="D8" s="57"/>
      <c r="F8" s="95" t="s">
        <v>33</v>
      </c>
      <c r="G8" s="33"/>
      <c r="H8" s="71"/>
    </row>
    <row r="9" spans="1:10" ht="15" thickBot="1" x14ac:dyDescent="0.4">
      <c r="A9" s="58">
        <v>1500000</v>
      </c>
      <c r="B9" s="1" t="s">
        <v>301</v>
      </c>
      <c r="C9" s="25"/>
      <c r="D9" s="59">
        <v>1500000</v>
      </c>
      <c r="E9" s="35">
        <v>149</v>
      </c>
      <c r="F9" s="26" t="s">
        <v>34</v>
      </c>
      <c r="G9" s="27">
        <v>150</v>
      </c>
      <c r="H9" s="65"/>
    </row>
    <row r="10" spans="1:10" ht="15" thickTop="1" x14ac:dyDescent="0.35">
      <c r="A10" s="60"/>
      <c r="B10" s="1"/>
      <c r="C10" s="25"/>
      <c r="D10" s="61"/>
      <c r="E10" s="35">
        <v>22096.53</v>
      </c>
      <c r="F10" s="26" t="s">
        <v>52</v>
      </c>
      <c r="G10" s="27">
        <v>21076.85</v>
      </c>
      <c r="H10" s="65"/>
    </row>
    <row r="11" spans="1:10" x14ac:dyDescent="0.35">
      <c r="A11" s="60"/>
      <c r="B11" s="53" t="s">
        <v>306</v>
      </c>
      <c r="C11" s="25"/>
      <c r="D11" s="61"/>
      <c r="E11" s="35">
        <v>2226</v>
      </c>
      <c r="F11" s="26" t="s">
        <v>53</v>
      </c>
      <c r="G11" s="29">
        <v>2363</v>
      </c>
      <c r="H11" s="65">
        <f>SUM(G9:G11)</f>
        <v>23589.85</v>
      </c>
    </row>
    <row r="12" spans="1:10" x14ac:dyDescent="0.35">
      <c r="A12" s="60">
        <v>3500</v>
      </c>
      <c r="B12" s="1" t="s">
        <v>302</v>
      </c>
      <c r="C12" s="25"/>
      <c r="D12" s="54">
        <v>3500</v>
      </c>
      <c r="E12" s="35"/>
      <c r="F12" s="26"/>
      <c r="G12" s="27"/>
      <c r="H12" s="65"/>
    </row>
    <row r="13" spans="1:10" x14ac:dyDescent="0.35">
      <c r="A13" s="60"/>
      <c r="B13" s="1"/>
      <c r="C13" s="25"/>
      <c r="D13" s="61"/>
      <c r="E13" s="35"/>
      <c r="F13" s="95" t="s">
        <v>35</v>
      </c>
      <c r="G13" s="27"/>
      <c r="H13" s="65"/>
      <c r="J13" s="31"/>
    </row>
    <row r="14" spans="1:10" x14ac:dyDescent="0.35">
      <c r="A14" s="60">
        <v>1483590</v>
      </c>
      <c r="B14" s="53" t="s">
        <v>314</v>
      </c>
      <c r="C14" s="25"/>
      <c r="D14" s="61">
        <f>'Sch III - R&amp;S'!D35</f>
        <v>608474</v>
      </c>
      <c r="E14" s="35">
        <v>1894.88</v>
      </c>
      <c r="F14" s="26" t="s">
        <v>128</v>
      </c>
      <c r="G14" s="27"/>
      <c r="H14" s="65">
        <v>1894.88</v>
      </c>
    </row>
    <row r="15" spans="1:10" x14ac:dyDescent="0.35">
      <c r="A15" s="60"/>
      <c r="B15" s="1"/>
      <c r="C15" s="4"/>
      <c r="D15" s="61"/>
      <c r="E15" s="35"/>
      <c r="F15" s="26"/>
      <c r="G15" s="32"/>
      <c r="H15" s="65"/>
    </row>
    <row r="16" spans="1:10" x14ac:dyDescent="0.35">
      <c r="A16" s="60"/>
      <c r="B16" s="53" t="s">
        <v>57</v>
      </c>
      <c r="C16" s="4"/>
      <c r="D16" s="61"/>
      <c r="E16" s="35"/>
      <c r="F16" s="95" t="s">
        <v>38</v>
      </c>
      <c r="G16" s="33"/>
      <c r="H16" s="65"/>
    </row>
    <row r="17" spans="1:10" x14ac:dyDescent="0.35">
      <c r="A17" s="60">
        <v>6663</v>
      </c>
      <c r="B17" s="1" t="s">
        <v>42</v>
      </c>
      <c r="C17" s="4">
        <f>A17+A18</f>
        <v>5664</v>
      </c>
      <c r="D17" s="61"/>
      <c r="E17" s="35">
        <v>1000</v>
      </c>
      <c r="F17" s="26" t="s">
        <v>55</v>
      </c>
      <c r="G17" s="33">
        <v>1000</v>
      </c>
      <c r="H17" s="65"/>
    </row>
    <row r="18" spans="1:10" x14ac:dyDescent="0.35">
      <c r="A18" s="60">
        <v>-999</v>
      </c>
      <c r="B18" s="1" t="s">
        <v>58</v>
      </c>
      <c r="C18" s="8">
        <v>-850</v>
      </c>
      <c r="D18" s="61">
        <f>SUM(C17:C18)</f>
        <v>4814</v>
      </c>
      <c r="E18" s="35">
        <v>100</v>
      </c>
      <c r="F18" s="26" t="s">
        <v>54</v>
      </c>
      <c r="G18" s="27">
        <v>100</v>
      </c>
      <c r="H18" s="65"/>
    </row>
    <row r="19" spans="1:10" x14ac:dyDescent="0.35">
      <c r="A19" s="60"/>
      <c r="B19" s="1"/>
      <c r="C19" s="4"/>
      <c r="D19" s="61"/>
      <c r="E19" s="13">
        <v>1474404</v>
      </c>
      <c r="F19" s="95" t="s">
        <v>307</v>
      </c>
      <c r="G19" s="27">
        <f>'Sch I - FD'!C21</f>
        <v>853701</v>
      </c>
      <c r="H19" s="65"/>
    </row>
    <row r="20" spans="1:10" x14ac:dyDescent="0.35">
      <c r="A20" s="60"/>
      <c r="B20" s="53" t="s">
        <v>59</v>
      </c>
      <c r="C20" s="4"/>
      <c r="D20" s="61"/>
      <c r="E20" s="13">
        <v>320920</v>
      </c>
      <c r="F20" s="26" t="s">
        <v>115</v>
      </c>
      <c r="G20" s="29">
        <f>'Sch I - FD'!D21</f>
        <v>5334</v>
      </c>
      <c r="H20" s="65">
        <f>SUM(G17:G20)</f>
        <v>860135</v>
      </c>
    </row>
    <row r="21" spans="1:10" x14ac:dyDescent="0.35">
      <c r="A21" s="60">
        <v>190300</v>
      </c>
      <c r="B21" s="1" t="s">
        <v>42</v>
      </c>
      <c r="C21" s="4">
        <f>A21+A22</f>
        <v>161755</v>
      </c>
      <c r="D21" s="61"/>
      <c r="E21" s="13"/>
      <c r="F21" s="30"/>
      <c r="G21" s="27"/>
      <c r="H21" s="65"/>
      <c r="J21" s="34"/>
    </row>
    <row r="22" spans="1:10" x14ac:dyDescent="0.35">
      <c r="A22" s="60">
        <v>-28545</v>
      </c>
      <c r="B22" s="1" t="s">
        <v>58</v>
      </c>
      <c r="C22" s="8">
        <f>-'Sch II - FA'!G12</f>
        <v>-24263</v>
      </c>
      <c r="D22" s="61">
        <f>SUM(C21:C22)</f>
        <v>137492</v>
      </c>
      <c r="E22" s="35">
        <v>204682</v>
      </c>
      <c r="F22" s="95" t="s">
        <v>116</v>
      </c>
      <c r="G22" s="32"/>
      <c r="H22" s="65">
        <f>'Sch II - FA'!H13</f>
        <v>174208</v>
      </c>
    </row>
    <row r="23" spans="1:10" x14ac:dyDescent="0.35">
      <c r="A23" s="60"/>
      <c r="B23" s="1"/>
      <c r="C23" s="25"/>
      <c r="D23" s="62"/>
      <c r="E23" s="35"/>
      <c r="F23" s="26"/>
      <c r="G23" s="32"/>
      <c r="H23" s="66"/>
    </row>
    <row r="24" spans="1:10" x14ac:dyDescent="0.35">
      <c r="A24" s="60"/>
      <c r="B24" s="53" t="s">
        <v>305</v>
      </c>
      <c r="C24" s="26"/>
      <c r="D24" s="57"/>
      <c r="E24" s="35"/>
      <c r="F24" s="95" t="s">
        <v>309</v>
      </c>
      <c r="G24" s="33"/>
      <c r="H24" s="66"/>
    </row>
    <row r="25" spans="1:10" x14ac:dyDescent="0.35">
      <c r="A25" s="60">
        <v>2000</v>
      </c>
      <c r="B25" s="1" t="s">
        <v>18</v>
      </c>
      <c r="C25" s="4">
        <v>4000</v>
      </c>
      <c r="D25" s="61"/>
      <c r="E25" s="33">
        <f>6954+8859+9093</f>
        <v>24906</v>
      </c>
      <c r="F25" s="26" t="s">
        <v>298</v>
      </c>
      <c r="G25" s="33"/>
      <c r="H25" s="66">
        <v>5407</v>
      </c>
    </row>
    <row r="26" spans="1:10" x14ac:dyDescent="0.35">
      <c r="A26" s="60">
        <v>3735</v>
      </c>
      <c r="B26" s="1" t="s">
        <v>11</v>
      </c>
      <c r="C26" s="4">
        <v>3381.23</v>
      </c>
      <c r="D26" s="61"/>
      <c r="E26" s="33"/>
      <c r="F26" s="26"/>
      <c r="G26" s="32"/>
      <c r="H26" s="65"/>
    </row>
    <row r="27" spans="1:10" x14ac:dyDescent="0.35">
      <c r="A27" s="60">
        <v>0</v>
      </c>
      <c r="B27" s="1" t="s">
        <v>103</v>
      </c>
      <c r="C27" s="4">
        <v>3000</v>
      </c>
      <c r="D27" s="61"/>
      <c r="E27" s="35"/>
      <c r="F27" s="96" t="s">
        <v>308</v>
      </c>
      <c r="G27" s="32"/>
      <c r="H27" s="66"/>
    </row>
    <row r="28" spans="1:10" x14ac:dyDescent="0.35">
      <c r="A28" s="60">
        <v>0</v>
      </c>
      <c r="B28" s="1" t="s">
        <v>299</v>
      </c>
      <c r="C28" s="4">
        <v>1160</v>
      </c>
      <c r="D28" s="61"/>
      <c r="E28" s="35">
        <v>950</v>
      </c>
      <c r="F28" s="37" t="s">
        <v>102</v>
      </c>
      <c r="G28" s="32">
        <v>967</v>
      </c>
      <c r="H28" s="67"/>
    </row>
    <row r="29" spans="1:10" x14ac:dyDescent="0.35">
      <c r="A29" s="60">
        <v>2489</v>
      </c>
      <c r="B29" s="1" t="s">
        <v>9</v>
      </c>
      <c r="C29" s="8">
        <v>2475</v>
      </c>
      <c r="D29" s="62">
        <f>SUM(C25:C29)</f>
        <v>14016.23</v>
      </c>
      <c r="E29" s="35">
        <v>19470</v>
      </c>
      <c r="F29" s="37" t="s">
        <v>91</v>
      </c>
      <c r="G29" s="32">
        <v>19470</v>
      </c>
      <c r="H29" s="67"/>
    </row>
    <row r="30" spans="1:10" x14ac:dyDescent="0.35">
      <c r="A30" s="60"/>
      <c r="B30" s="1"/>
      <c r="C30" s="4"/>
      <c r="D30" s="62"/>
      <c r="E30" s="35">
        <v>5841</v>
      </c>
      <c r="F30" s="37" t="s">
        <v>94</v>
      </c>
      <c r="G30" s="32">
        <v>5841</v>
      </c>
      <c r="H30" s="67"/>
    </row>
    <row r="31" spans="1:10" x14ac:dyDescent="0.35">
      <c r="A31" s="60">
        <v>35314</v>
      </c>
      <c r="B31" s="53" t="s">
        <v>117</v>
      </c>
      <c r="C31" s="4"/>
      <c r="D31" s="62">
        <f>'Sch IV - Mem. Adv'!D8</f>
        <v>25905</v>
      </c>
      <c r="E31" s="35">
        <v>3894</v>
      </c>
      <c r="F31" s="37" t="s">
        <v>93</v>
      </c>
      <c r="G31" s="32">
        <v>3894</v>
      </c>
      <c r="H31" s="67"/>
    </row>
    <row r="32" spans="1:10" x14ac:dyDescent="0.35">
      <c r="A32" s="60"/>
      <c r="B32" s="3"/>
      <c r="C32" s="4"/>
      <c r="D32" s="62"/>
      <c r="E32" s="35">
        <v>6846</v>
      </c>
      <c r="F32" s="37" t="s">
        <v>310</v>
      </c>
      <c r="G32" s="39">
        <v>6827</v>
      </c>
      <c r="H32" s="68">
        <f>SUM(G28:G32)</f>
        <v>36999</v>
      </c>
    </row>
    <row r="33" spans="1:10" x14ac:dyDescent="0.35">
      <c r="A33" s="60">
        <v>0</v>
      </c>
      <c r="B33" s="3" t="s">
        <v>290</v>
      </c>
      <c r="C33" s="4"/>
      <c r="D33" s="62">
        <v>80300</v>
      </c>
      <c r="E33" s="35"/>
      <c r="F33" s="37"/>
      <c r="G33" s="32"/>
      <c r="H33" s="68"/>
    </row>
    <row r="34" spans="1:10" x14ac:dyDescent="0.35">
      <c r="A34" s="60"/>
      <c r="B34" s="3"/>
      <c r="C34" s="4"/>
      <c r="D34" s="62"/>
      <c r="E34" s="35"/>
      <c r="F34" s="37"/>
      <c r="G34" s="32"/>
      <c r="H34" s="68"/>
    </row>
    <row r="35" spans="1:10" x14ac:dyDescent="0.35">
      <c r="A35" s="60"/>
      <c r="B35" s="53" t="s">
        <v>43</v>
      </c>
      <c r="C35" s="28"/>
      <c r="D35" s="61"/>
      <c r="E35" s="35"/>
      <c r="F35" s="37"/>
      <c r="G35" s="32"/>
      <c r="H35" s="68"/>
    </row>
    <row r="36" spans="1:10" x14ac:dyDescent="0.35">
      <c r="A36" s="60">
        <v>382413.15</v>
      </c>
      <c r="B36" s="1" t="s">
        <v>42</v>
      </c>
      <c r="C36" s="28">
        <f>A36+A37</f>
        <v>391332.41000000003</v>
      </c>
      <c r="D36" s="61"/>
      <c r="E36" s="35"/>
      <c r="F36" s="37"/>
      <c r="G36" s="32"/>
      <c r="H36" s="68"/>
    </row>
    <row r="37" spans="1:10" x14ac:dyDescent="0.35">
      <c r="A37" s="63">
        <v>8919.26</v>
      </c>
      <c r="B37" s="38" t="s">
        <v>300</v>
      </c>
      <c r="C37" s="94">
        <f>IE!H30</f>
        <v>163599.91</v>
      </c>
      <c r="D37" s="64">
        <f>C36-C37</f>
        <v>227732.50000000003</v>
      </c>
      <c r="E37" s="35"/>
      <c r="F37" s="37"/>
      <c r="G37" s="32"/>
      <c r="H37" s="67"/>
      <c r="I37" s="34"/>
      <c r="J37" s="34">
        <f>A39-E39</f>
        <v>0</v>
      </c>
    </row>
    <row r="38" spans="1:10" x14ac:dyDescent="0.35">
      <c r="A38" s="63"/>
      <c r="B38" s="89"/>
      <c r="C38" s="94"/>
      <c r="D38" s="64"/>
      <c r="E38" s="35"/>
      <c r="F38" s="37"/>
      <c r="G38" s="39"/>
      <c r="H38" s="67"/>
      <c r="I38" s="34"/>
      <c r="J38" s="34"/>
    </row>
    <row r="39" spans="1:10" ht="15" thickBot="1" x14ac:dyDescent="0.4">
      <c r="A39" s="90">
        <f>SUM(A12:A37)</f>
        <v>2089379.41</v>
      </c>
      <c r="B39" s="151" t="s">
        <v>24</v>
      </c>
      <c r="C39" s="152"/>
      <c r="D39" s="92">
        <f>SUM(D11:D37)</f>
        <v>1102233.73</v>
      </c>
      <c r="E39" s="93">
        <f>SUM(E8:E37)</f>
        <v>2089379.41</v>
      </c>
      <c r="F39" s="151" t="s">
        <v>24</v>
      </c>
      <c r="G39" s="152"/>
      <c r="H39" s="92">
        <f>SUM(H9:H37)</f>
        <v>1102233.73</v>
      </c>
      <c r="I39" s="34">
        <f>D39-H39</f>
        <v>0</v>
      </c>
    </row>
    <row r="40" spans="1:10" ht="15" thickTop="1" x14ac:dyDescent="0.35">
      <c r="A40" s="69"/>
      <c r="B40" s="40"/>
      <c r="C40" s="40"/>
      <c r="D40" s="69"/>
      <c r="E40" s="69"/>
      <c r="F40" s="40"/>
      <c r="G40" s="40"/>
      <c r="H40" s="69"/>
      <c r="I40" s="34"/>
    </row>
    <row r="41" spans="1:10" x14ac:dyDescent="0.35">
      <c r="A41" s="97" t="s">
        <v>25</v>
      </c>
      <c r="B41" s="87"/>
      <c r="C41" s="33"/>
      <c r="E41" s="153" t="s">
        <v>311</v>
      </c>
      <c r="F41" s="153"/>
      <c r="G41" s="153"/>
      <c r="H41" s="33"/>
    </row>
    <row r="42" spans="1:10" x14ac:dyDescent="0.35">
      <c r="A42" s="24"/>
      <c r="B42" s="24"/>
      <c r="C42" s="33"/>
      <c r="G42" s="33"/>
      <c r="H42" s="41"/>
    </row>
    <row r="43" spans="1:10" x14ac:dyDescent="0.35">
      <c r="C43" s="33"/>
      <c r="D43" s="88"/>
      <c r="G43" s="33"/>
      <c r="I43" s="34"/>
    </row>
    <row r="44" spans="1:10" ht="51" customHeight="1" x14ac:dyDescent="0.35">
      <c r="C44" s="33"/>
      <c r="D44" s="88"/>
      <c r="G44" s="33"/>
      <c r="J44" s="34"/>
    </row>
    <row r="45" spans="1:10" x14ac:dyDescent="0.35">
      <c r="A45" s="24" t="s">
        <v>312</v>
      </c>
      <c r="B45" s="24"/>
      <c r="C45" s="33"/>
      <c r="D45" s="88"/>
      <c r="G45" s="33"/>
    </row>
    <row r="46" spans="1:10" x14ac:dyDescent="0.35">
      <c r="A46" s="24" t="s">
        <v>325</v>
      </c>
      <c r="B46" s="24"/>
      <c r="C46" s="33"/>
      <c r="E46" s="196" t="s">
        <v>26</v>
      </c>
      <c r="F46" s="40" t="s">
        <v>27</v>
      </c>
      <c r="G46" s="197" t="s">
        <v>28</v>
      </c>
    </row>
    <row r="47" spans="1:10" ht="18.5" customHeight="1" x14ac:dyDescent="0.35">
      <c r="A47" s="3" t="s">
        <v>29</v>
      </c>
      <c r="C47" s="33"/>
      <c r="F47" s="34"/>
      <c r="G47" s="33"/>
      <c r="I47" s="34"/>
    </row>
    <row r="48" spans="1:10" x14ac:dyDescent="0.35">
      <c r="A48" s="3" t="s">
        <v>313</v>
      </c>
      <c r="C48" s="33"/>
      <c r="G48" s="33"/>
    </row>
    <row r="49" spans="9:9" x14ac:dyDescent="0.35">
      <c r="I49" s="34"/>
    </row>
    <row r="50" spans="9:9" x14ac:dyDescent="0.35">
      <c r="I50" s="42"/>
    </row>
    <row r="51" spans="9:9" x14ac:dyDescent="0.35">
      <c r="I51" s="34"/>
    </row>
    <row r="52" spans="9:9" x14ac:dyDescent="0.35">
      <c r="I52" s="34"/>
    </row>
  </sheetData>
  <mergeCells count="8">
    <mergeCell ref="E41:G41"/>
    <mergeCell ref="B39:C39"/>
    <mergeCell ref="F39:G39"/>
    <mergeCell ref="A1:H1"/>
    <mergeCell ref="A2:H2"/>
    <mergeCell ref="A4:H4"/>
    <mergeCell ref="B6:C7"/>
    <mergeCell ref="F6:G7"/>
  </mergeCells>
  <printOptions horizontalCentered="1"/>
  <pageMargins left="0.19685039370078741" right="0.19685039370078741" top="0.94488188976377963" bottom="0.35433070866141736" header="0.31496062992125984" footer="0.31496062992125984"/>
  <pageSetup paperSize="9"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76"/>
  <sheetViews>
    <sheetView workbookViewId="0">
      <selection activeCell="A2" sqref="A2:H2"/>
    </sheetView>
  </sheetViews>
  <sheetFormatPr defaultColWidth="9.1796875" defaultRowHeight="14.5" x14ac:dyDescent="0.35"/>
  <cols>
    <col min="1" max="1" width="13.1796875" style="1" customWidth="1"/>
    <col min="2" max="2" width="30" style="1" customWidth="1"/>
    <col min="3" max="3" width="12.7265625" style="18" bestFit="1" customWidth="1"/>
    <col min="4" max="4" width="12.453125" style="3" customWidth="1"/>
    <col min="5" max="5" width="13.26953125" style="1" customWidth="1"/>
    <col min="6" max="6" width="32.453125" style="1" customWidth="1"/>
    <col min="7" max="7" width="13.453125" style="18" customWidth="1"/>
    <col min="8" max="8" width="12.81640625" style="3" customWidth="1"/>
    <col min="9" max="9" width="13.81640625" style="1" bestFit="1" customWidth="1"/>
    <col min="10" max="16384" width="9.1796875" style="1"/>
  </cols>
  <sheetData>
    <row r="1" spans="1:9" ht="18.5" x14ac:dyDescent="0.45">
      <c r="A1" s="184" t="s">
        <v>44</v>
      </c>
      <c r="B1" s="184"/>
      <c r="C1" s="184"/>
      <c r="D1" s="184"/>
      <c r="E1" s="184"/>
      <c r="F1" s="184"/>
      <c r="G1" s="184"/>
      <c r="H1" s="184"/>
    </row>
    <row r="2" spans="1:9" x14ac:dyDescent="0.35">
      <c r="A2" s="173" t="s">
        <v>322</v>
      </c>
      <c r="B2" s="173"/>
      <c r="C2" s="173"/>
      <c r="D2" s="173"/>
      <c r="E2" s="173"/>
      <c r="F2" s="173"/>
      <c r="G2" s="173"/>
      <c r="H2" s="173"/>
    </row>
    <row r="3" spans="1:9" ht="28.5" customHeight="1" x14ac:dyDescent="0.35">
      <c r="A3" s="174"/>
      <c r="B3" s="174"/>
      <c r="C3" s="174"/>
      <c r="D3" s="174"/>
      <c r="E3" s="174"/>
      <c r="F3" s="174"/>
      <c r="G3" s="174"/>
      <c r="H3" s="174"/>
    </row>
    <row r="4" spans="1:9" ht="18.5" x14ac:dyDescent="0.45">
      <c r="A4" s="185" t="s">
        <v>142</v>
      </c>
      <c r="B4" s="185"/>
      <c r="C4" s="185"/>
      <c r="D4" s="185"/>
      <c r="E4" s="185"/>
      <c r="F4" s="185"/>
      <c r="G4" s="185"/>
      <c r="H4" s="185"/>
    </row>
    <row r="5" spans="1:9" ht="27.5" customHeight="1" x14ac:dyDescent="0.35">
      <c r="A5" s="175"/>
      <c r="B5" s="175"/>
      <c r="C5" s="175"/>
      <c r="D5" s="175"/>
      <c r="E5" s="175"/>
      <c r="F5" s="175"/>
      <c r="G5" s="175"/>
      <c r="H5" s="186" t="s">
        <v>323</v>
      </c>
    </row>
    <row r="6" spans="1:9" s="2" customFormat="1" x14ac:dyDescent="0.35">
      <c r="A6" s="176" t="s">
        <v>0</v>
      </c>
      <c r="B6" s="177" t="s">
        <v>1</v>
      </c>
      <c r="C6" s="178"/>
      <c r="D6" s="189" t="s">
        <v>2</v>
      </c>
      <c r="E6" s="194" t="s">
        <v>0</v>
      </c>
      <c r="F6" s="177" t="s">
        <v>3</v>
      </c>
      <c r="G6" s="178"/>
      <c r="H6" s="179" t="s">
        <v>2</v>
      </c>
    </row>
    <row r="7" spans="1:9" s="2" customFormat="1" ht="15" thickBot="1" x14ac:dyDescent="0.4">
      <c r="A7" s="180" t="s">
        <v>143</v>
      </c>
      <c r="B7" s="181"/>
      <c r="C7" s="182"/>
      <c r="D7" s="190" t="s">
        <v>144</v>
      </c>
      <c r="E7" s="195" t="str">
        <f>A7</f>
        <v>2022-23</v>
      </c>
      <c r="F7" s="181"/>
      <c r="G7" s="182"/>
      <c r="H7" s="183" t="str">
        <f>D7</f>
        <v>2023-24</v>
      </c>
    </row>
    <row r="8" spans="1:9" ht="15" thickTop="1" x14ac:dyDescent="0.35">
      <c r="A8" s="51"/>
      <c r="B8" s="3"/>
      <c r="C8" s="4"/>
      <c r="D8" s="191"/>
      <c r="E8" s="38"/>
      <c r="F8" s="53" t="s">
        <v>4</v>
      </c>
      <c r="G8" s="4"/>
      <c r="H8" s="52"/>
    </row>
    <row r="9" spans="1:9" x14ac:dyDescent="0.35">
      <c r="A9" s="51">
        <v>154710</v>
      </c>
      <c r="B9" s="3" t="s">
        <v>5</v>
      </c>
      <c r="C9" s="4"/>
      <c r="D9" s="191">
        <v>154710</v>
      </c>
      <c r="E9" s="4">
        <v>172104</v>
      </c>
      <c r="F9" s="1" t="s">
        <v>5</v>
      </c>
      <c r="G9" s="4">
        <f>161244+4704</f>
        <v>165948</v>
      </c>
      <c r="H9" s="52"/>
      <c r="I9" s="5"/>
    </row>
    <row r="10" spans="1:9" x14ac:dyDescent="0.35">
      <c r="A10" s="51"/>
      <c r="C10" s="4"/>
      <c r="D10" s="191"/>
      <c r="E10" s="4">
        <v>5040</v>
      </c>
      <c r="F10" s="1" t="s">
        <v>50</v>
      </c>
      <c r="G10" s="4">
        <v>0</v>
      </c>
      <c r="H10" s="52"/>
      <c r="I10" s="6"/>
    </row>
    <row r="11" spans="1:9" x14ac:dyDescent="0.35">
      <c r="A11" s="51">
        <v>30698</v>
      </c>
      <c r="B11" s="3" t="s">
        <v>7</v>
      </c>
      <c r="C11" s="4"/>
      <c r="D11" s="191">
        <v>36517</v>
      </c>
      <c r="E11" s="4">
        <v>390600</v>
      </c>
      <c r="F11" s="1" t="s">
        <v>6</v>
      </c>
      <c r="G11" s="4">
        <v>413280</v>
      </c>
      <c r="H11" s="52"/>
      <c r="I11" s="6"/>
    </row>
    <row r="12" spans="1:9" x14ac:dyDescent="0.35">
      <c r="A12" s="51"/>
      <c r="C12" s="4"/>
      <c r="D12" s="192"/>
      <c r="E12" s="4">
        <v>2400</v>
      </c>
      <c r="F12" s="1" t="s">
        <v>8</v>
      </c>
      <c r="G12" s="4">
        <v>3600</v>
      </c>
      <c r="H12" s="52"/>
      <c r="I12" s="6"/>
    </row>
    <row r="13" spans="1:9" x14ac:dyDescent="0.35">
      <c r="A13" s="51">
        <v>23352</v>
      </c>
      <c r="B13" s="3" t="s">
        <v>45</v>
      </c>
      <c r="C13" s="4"/>
      <c r="D13" s="192">
        <v>23371</v>
      </c>
      <c r="E13" s="4">
        <v>147</v>
      </c>
      <c r="F13" s="1" t="s">
        <v>10</v>
      </c>
      <c r="G13" s="4">
        <v>16</v>
      </c>
      <c r="H13" s="52"/>
      <c r="I13" s="6"/>
    </row>
    <row r="14" spans="1:9" x14ac:dyDescent="0.35">
      <c r="A14" s="51"/>
      <c r="C14" s="4"/>
      <c r="D14" s="192"/>
      <c r="E14" s="4">
        <v>14000</v>
      </c>
      <c r="F14" s="1" t="s">
        <v>12</v>
      </c>
      <c r="G14" s="8">
        <v>13750</v>
      </c>
      <c r="H14" s="52">
        <f>SUM(G9:G14)</f>
        <v>596594</v>
      </c>
      <c r="I14" s="6"/>
    </row>
    <row r="15" spans="1:9" x14ac:dyDescent="0.35">
      <c r="A15" s="51">
        <v>44590.62</v>
      </c>
      <c r="B15" s="3" t="s">
        <v>11</v>
      </c>
      <c r="C15" s="4"/>
      <c r="D15" s="191">
        <v>43048.61</v>
      </c>
      <c r="E15" s="4"/>
      <c r="G15" s="4"/>
      <c r="H15" s="52"/>
      <c r="I15" s="6"/>
    </row>
    <row r="16" spans="1:9" x14ac:dyDescent="0.35">
      <c r="A16" s="51"/>
      <c r="C16" s="4"/>
      <c r="D16" s="191"/>
      <c r="E16" s="4"/>
      <c r="F16" s="53" t="s">
        <v>14</v>
      </c>
      <c r="G16" s="4"/>
      <c r="H16" s="52"/>
      <c r="I16" s="6"/>
    </row>
    <row r="17" spans="1:10" x14ac:dyDescent="0.35">
      <c r="A17" s="51">
        <f>'Sch V -R&amp;M'!A12</f>
        <v>82560</v>
      </c>
      <c r="B17" s="3" t="s">
        <v>120</v>
      </c>
      <c r="C17" s="4"/>
      <c r="D17" s="191">
        <f>'Sch V -R&amp;M'!C12</f>
        <v>181194</v>
      </c>
      <c r="E17" s="4">
        <v>4002</v>
      </c>
      <c r="F17" s="1" t="s">
        <v>15</v>
      </c>
      <c r="G17" s="4"/>
      <c r="H17" s="52">
        <v>8631</v>
      </c>
      <c r="I17" s="6"/>
    </row>
    <row r="18" spans="1:10" x14ac:dyDescent="0.35">
      <c r="A18" s="51"/>
      <c r="C18" s="4"/>
      <c r="D18" s="191"/>
      <c r="E18" s="4">
        <v>71484</v>
      </c>
      <c r="F18" s="1" t="s">
        <v>16</v>
      </c>
      <c r="G18" s="4">
        <v>67191</v>
      </c>
      <c r="H18" s="52"/>
      <c r="I18" s="10"/>
      <c r="J18" s="9"/>
    </row>
    <row r="19" spans="1:10" x14ac:dyDescent="0.35">
      <c r="A19" s="51"/>
      <c r="B19" s="3" t="s">
        <v>17</v>
      </c>
      <c r="C19" s="4"/>
      <c r="D19" s="191"/>
      <c r="E19" s="4">
        <v>0</v>
      </c>
      <c r="F19" s="1" t="s">
        <v>161</v>
      </c>
      <c r="G19" s="4">
        <v>-15571</v>
      </c>
      <c r="H19" s="52"/>
      <c r="I19" s="10"/>
      <c r="J19" s="9"/>
    </row>
    <row r="20" spans="1:10" x14ac:dyDescent="0.35">
      <c r="A20" s="51">
        <v>2000</v>
      </c>
      <c r="B20" s="1" t="s">
        <v>18</v>
      </c>
      <c r="C20" s="4">
        <v>2000</v>
      </c>
      <c r="D20" s="191"/>
      <c r="E20" s="4">
        <v>0</v>
      </c>
      <c r="F20" s="1" t="s">
        <v>162</v>
      </c>
      <c r="G20" s="8">
        <v>-15737</v>
      </c>
      <c r="H20" s="52">
        <f>SUM(G18:G20)</f>
        <v>35883</v>
      </c>
      <c r="I20" s="10"/>
      <c r="J20" s="9"/>
    </row>
    <row r="21" spans="1:10" x14ac:dyDescent="0.35">
      <c r="A21" s="51">
        <v>24038</v>
      </c>
      <c r="B21" s="1" t="s">
        <v>46</v>
      </c>
      <c r="C21" s="4">
        <v>24252</v>
      </c>
      <c r="D21" s="191"/>
      <c r="E21" s="4"/>
      <c r="F21" s="53"/>
      <c r="G21" s="4"/>
      <c r="H21" s="52"/>
      <c r="I21" s="9"/>
      <c r="J21" s="9"/>
    </row>
    <row r="22" spans="1:10" x14ac:dyDescent="0.35">
      <c r="A22" s="51">
        <v>0</v>
      </c>
      <c r="B22" s="1" t="s">
        <v>158</v>
      </c>
      <c r="C22" s="4">
        <v>12335.5</v>
      </c>
      <c r="D22" s="191"/>
      <c r="E22" s="4">
        <v>154.88</v>
      </c>
      <c r="F22" s="1" t="s">
        <v>88</v>
      </c>
      <c r="G22" s="4">
        <v>0</v>
      </c>
      <c r="H22" s="52"/>
      <c r="J22" s="9"/>
    </row>
    <row r="23" spans="1:10" x14ac:dyDescent="0.35">
      <c r="A23" s="51">
        <v>251501</v>
      </c>
      <c r="B23" s="1" t="s">
        <v>47</v>
      </c>
      <c r="C23" s="4">
        <v>253200</v>
      </c>
      <c r="D23" s="191"/>
      <c r="E23" s="28">
        <v>0</v>
      </c>
      <c r="F23" s="38" t="s">
        <v>284</v>
      </c>
      <c r="G23" s="8">
        <v>646</v>
      </c>
      <c r="H23" s="52">
        <f>SUM(G22:G23)</f>
        <v>646</v>
      </c>
      <c r="I23" s="6"/>
      <c r="J23" s="9"/>
    </row>
    <row r="24" spans="1:10" x14ac:dyDescent="0.35">
      <c r="A24" s="51">
        <v>826</v>
      </c>
      <c r="B24" s="1" t="s">
        <v>19</v>
      </c>
      <c r="C24" s="4">
        <v>826</v>
      </c>
      <c r="D24" s="191"/>
      <c r="E24" s="38"/>
      <c r="F24" s="38"/>
      <c r="G24" s="4"/>
      <c r="H24" s="52"/>
      <c r="J24" s="9"/>
    </row>
    <row r="25" spans="1:10" x14ac:dyDescent="0.35">
      <c r="A25" s="51">
        <v>6277</v>
      </c>
      <c r="B25" s="1" t="s">
        <v>49</v>
      </c>
      <c r="C25" s="4">
        <f>'Sch II - FA'!G16</f>
        <v>5361</v>
      </c>
      <c r="D25" s="191"/>
      <c r="E25" s="4"/>
      <c r="F25" s="53" t="s">
        <v>20</v>
      </c>
      <c r="G25" s="4"/>
      <c r="H25" s="52"/>
      <c r="J25" s="9"/>
    </row>
    <row r="26" spans="1:10" x14ac:dyDescent="0.35">
      <c r="A26" s="51">
        <v>18712</v>
      </c>
      <c r="B26" s="1" t="s">
        <v>21</v>
      </c>
      <c r="C26" s="4">
        <v>18000</v>
      </c>
      <c r="D26" s="191"/>
      <c r="E26" s="4">
        <v>0</v>
      </c>
      <c r="F26" s="1" t="s">
        <v>285</v>
      </c>
      <c r="G26" s="4">
        <v>1100</v>
      </c>
      <c r="H26" s="52"/>
      <c r="J26" s="9"/>
    </row>
    <row r="27" spans="1:10" x14ac:dyDescent="0.35">
      <c r="A27" s="51">
        <v>2000</v>
      </c>
      <c r="B27" s="1" t="s">
        <v>103</v>
      </c>
      <c r="C27" s="4">
        <f>18000+3000</f>
        <v>21000</v>
      </c>
      <c r="D27" s="191"/>
      <c r="E27" s="4">
        <v>0</v>
      </c>
      <c r="F27" s="1" t="s">
        <v>22</v>
      </c>
      <c r="G27" s="8">
        <v>51</v>
      </c>
      <c r="H27" s="52">
        <f>SUM(G26:G27)</f>
        <v>1151</v>
      </c>
      <c r="J27" s="9"/>
    </row>
    <row r="28" spans="1:10" x14ac:dyDescent="0.35">
      <c r="A28" s="51">
        <v>993</v>
      </c>
      <c r="B28" s="1" t="s">
        <v>104</v>
      </c>
      <c r="C28" s="4">
        <v>2699</v>
      </c>
      <c r="D28" s="191"/>
      <c r="E28" s="4"/>
      <c r="G28" s="4"/>
      <c r="H28" s="52"/>
      <c r="J28" s="9"/>
    </row>
    <row r="29" spans="1:10" x14ac:dyDescent="0.35">
      <c r="A29" s="51">
        <v>0</v>
      </c>
      <c r="B29" s="1" t="s">
        <v>160</v>
      </c>
      <c r="C29" s="4">
        <v>70.8</v>
      </c>
      <c r="D29" s="191"/>
      <c r="E29" s="4"/>
      <c r="G29" s="4"/>
      <c r="H29" s="52"/>
      <c r="J29" s="9"/>
    </row>
    <row r="30" spans="1:10" x14ac:dyDescent="0.35">
      <c r="A30" s="51">
        <v>1032</v>
      </c>
      <c r="B30" s="1" t="s">
        <v>23</v>
      </c>
      <c r="C30" s="4">
        <v>1370</v>
      </c>
      <c r="D30" s="191"/>
      <c r="E30" s="4"/>
      <c r="F30" s="3" t="s">
        <v>303</v>
      </c>
      <c r="G30" s="4"/>
      <c r="H30" s="52">
        <v>163599.91</v>
      </c>
      <c r="J30" s="9"/>
    </row>
    <row r="31" spans="1:10" x14ac:dyDescent="0.35">
      <c r="A31" s="51">
        <v>0</v>
      </c>
      <c r="B31" s="1" t="s">
        <v>297</v>
      </c>
      <c r="C31" s="4">
        <f>9607+1160</f>
        <v>10767</v>
      </c>
      <c r="D31" s="191"/>
      <c r="E31" s="4"/>
      <c r="G31" s="4"/>
      <c r="H31" s="52"/>
      <c r="J31" s="9"/>
    </row>
    <row r="32" spans="1:10" x14ac:dyDescent="0.35">
      <c r="A32" s="51">
        <v>4750</v>
      </c>
      <c r="B32" s="1" t="s">
        <v>48</v>
      </c>
      <c r="C32" s="8">
        <v>15783</v>
      </c>
      <c r="D32" s="191">
        <f>SUM(C20:C32)</f>
        <v>367664.3</v>
      </c>
      <c r="E32" s="4"/>
      <c r="G32" s="4"/>
      <c r="H32" s="52"/>
      <c r="I32" s="5"/>
      <c r="J32" s="9"/>
    </row>
    <row r="33" spans="1:10" x14ac:dyDescent="0.35">
      <c r="A33" s="51"/>
      <c r="C33" s="4"/>
      <c r="D33" s="191"/>
      <c r="E33" s="4"/>
      <c r="G33" s="4"/>
      <c r="H33" s="52"/>
      <c r="I33" s="5"/>
      <c r="J33" s="9"/>
    </row>
    <row r="34" spans="1:10" x14ac:dyDescent="0.35">
      <c r="A34" s="51">
        <v>0</v>
      </c>
      <c r="B34" s="1" t="s">
        <v>315</v>
      </c>
      <c r="C34" s="4">
        <v>888140</v>
      </c>
      <c r="D34" s="191"/>
      <c r="E34" s="4"/>
      <c r="G34" s="4"/>
      <c r="H34" s="52"/>
      <c r="I34" s="5"/>
      <c r="J34" s="9"/>
    </row>
    <row r="35" spans="1:10" x14ac:dyDescent="0.35">
      <c r="A35" s="51">
        <v>0</v>
      </c>
      <c r="B35" s="1" t="s">
        <v>296</v>
      </c>
      <c r="C35" s="8">
        <f>'Sch III - R&amp;S'!D27-348864</f>
        <v>-888140</v>
      </c>
      <c r="D35" s="191">
        <f>SUM(C34:C35)</f>
        <v>0</v>
      </c>
      <c r="E35" s="4"/>
      <c r="G35" s="4"/>
      <c r="H35" s="52"/>
      <c r="I35" s="5"/>
      <c r="J35" s="9"/>
    </row>
    <row r="36" spans="1:10" x14ac:dyDescent="0.35">
      <c r="A36" s="51"/>
      <c r="C36" s="4"/>
      <c r="D36" s="191"/>
      <c r="E36" s="4"/>
      <c r="G36" s="4"/>
      <c r="H36" s="52"/>
      <c r="J36" s="9"/>
    </row>
    <row r="37" spans="1:10" x14ac:dyDescent="0.35">
      <c r="A37" s="51">
        <v>2973</v>
      </c>
      <c r="B37" s="1" t="s">
        <v>126</v>
      </c>
      <c r="C37" s="4"/>
      <c r="D37" s="191"/>
      <c r="E37" s="4"/>
      <c r="G37" s="4"/>
      <c r="H37" s="52"/>
      <c r="I37" s="11"/>
      <c r="J37" s="9"/>
    </row>
    <row r="38" spans="1:10" x14ac:dyDescent="0.35">
      <c r="A38" s="51">
        <v>8919.26</v>
      </c>
      <c r="B38" s="1" t="s">
        <v>51</v>
      </c>
      <c r="C38" s="4"/>
      <c r="D38" s="191">
        <f>H40-SUM(D8:D37)</f>
        <v>0</v>
      </c>
      <c r="E38" s="4"/>
      <c r="G38" s="4"/>
      <c r="H38" s="52"/>
      <c r="I38" s="11"/>
      <c r="J38" s="9"/>
    </row>
    <row r="39" spans="1:10" x14ac:dyDescent="0.35">
      <c r="A39" s="51"/>
      <c r="C39" s="8"/>
      <c r="D39" s="191"/>
      <c r="E39" s="4"/>
      <c r="G39" s="8"/>
      <c r="H39" s="52"/>
      <c r="I39" s="5">
        <f>D40-H40</f>
        <v>0</v>
      </c>
      <c r="J39" s="9">
        <v>41037</v>
      </c>
    </row>
    <row r="40" spans="1:10" ht="15" thickBot="1" x14ac:dyDescent="0.4">
      <c r="A40" s="84">
        <f>SUM(A8:A38)</f>
        <v>659931.88</v>
      </c>
      <c r="B40" s="156" t="s">
        <v>24</v>
      </c>
      <c r="C40" s="157"/>
      <c r="D40" s="193">
        <f>SUM(D8:D38)</f>
        <v>806504.90999999992</v>
      </c>
      <c r="E40" s="85">
        <f>SUM(E8:E29)</f>
        <v>659931.88</v>
      </c>
      <c r="F40" s="156" t="s">
        <v>24</v>
      </c>
      <c r="G40" s="157"/>
      <c r="H40" s="86">
        <f>SUM(H9:H38)</f>
        <v>806504.91</v>
      </c>
      <c r="J40" s="9"/>
    </row>
    <row r="41" spans="1:10" ht="15" thickTop="1" x14ac:dyDescent="0.35">
      <c r="A41" s="14"/>
      <c r="B41" s="16"/>
      <c r="C41" s="16"/>
      <c r="D41" s="7"/>
      <c r="E41" s="14"/>
      <c r="F41" s="16"/>
      <c r="G41" s="16"/>
      <c r="H41" s="14"/>
      <c r="J41" s="9"/>
    </row>
    <row r="42" spans="1:10" x14ac:dyDescent="0.35">
      <c r="A42" s="154" t="s">
        <v>25</v>
      </c>
      <c r="B42" s="154"/>
      <c r="C42" s="13"/>
      <c r="E42" s="155" t="s">
        <v>304</v>
      </c>
      <c r="F42" s="155"/>
      <c r="G42" s="155"/>
      <c r="I42" s="5"/>
      <c r="J42" s="9"/>
    </row>
    <row r="43" spans="1:10" x14ac:dyDescent="0.35">
      <c r="A43"/>
      <c r="B43" s="3"/>
      <c r="C43" s="13"/>
      <c r="G43" s="13"/>
      <c r="I43" s="5"/>
      <c r="J43" s="9">
        <v>5</v>
      </c>
    </row>
    <row r="44" spans="1:10" x14ac:dyDescent="0.35">
      <c r="A44"/>
      <c r="B44" s="3"/>
      <c r="C44" s="13"/>
      <c r="D44" s="15"/>
      <c r="G44" s="13"/>
      <c r="J44" s="9"/>
    </row>
    <row r="45" spans="1:10" ht="27.5" customHeight="1" x14ac:dyDescent="0.35">
      <c r="A45"/>
      <c r="C45" s="13"/>
      <c r="D45" s="15"/>
      <c r="G45" s="13"/>
      <c r="J45" s="9"/>
    </row>
    <row r="46" spans="1:10" ht="25" customHeight="1" x14ac:dyDescent="0.35">
      <c r="A46" s="24" t="str">
        <f>BS!A45</f>
        <v>(Shankar D. Gawde)</v>
      </c>
      <c r="B46" s="3"/>
      <c r="C46" s="13"/>
      <c r="D46" s="15"/>
      <c r="G46" s="13"/>
      <c r="I46" s="11"/>
      <c r="J46" s="9"/>
    </row>
    <row r="47" spans="1:10" x14ac:dyDescent="0.35">
      <c r="A47" s="24" t="s">
        <v>325</v>
      </c>
      <c r="B47" s="3"/>
      <c r="C47" s="13"/>
      <c r="D47" s="15"/>
      <c r="E47" s="187" t="s">
        <v>26</v>
      </c>
      <c r="F47" s="16" t="s">
        <v>324</v>
      </c>
      <c r="G47" s="188" t="s">
        <v>28</v>
      </c>
    </row>
    <row r="48" spans="1:10" ht="21.5" customHeight="1" x14ac:dyDescent="0.35">
      <c r="A48" s="3" t="s">
        <v>29</v>
      </c>
      <c r="B48" s="3"/>
      <c r="C48" s="13"/>
      <c r="D48" s="15"/>
      <c r="G48" s="13"/>
      <c r="H48" s="14"/>
    </row>
    <row r="49" spans="1:8" x14ac:dyDescent="0.35">
      <c r="A49" s="3" t="str">
        <f>BS!A48</f>
        <v>Date : 12.07.2024</v>
      </c>
      <c r="B49" s="3"/>
      <c r="C49" s="13"/>
      <c r="G49" s="13"/>
      <c r="H49" s="15"/>
    </row>
    <row r="51" spans="1:8" x14ac:dyDescent="0.35">
      <c r="A51" s="17"/>
      <c r="H51" s="19"/>
    </row>
    <row r="52" spans="1:8" x14ac:dyDescent="0.35">
      <c r="D52" s="20"/>
      <c r="H52" s="7"/>
    </row>
    <row r="53" spans="1:8" x14ac:dyDescent="0.35">
      <c r="D53" s="15"/>
    </row>
    <row r="55" spans="1:8" x14ac:dyDescent="0.35">
      <c r="D55" s="15"/>
    </row>
    <row r="56" spans="1:8" x14ac:dyDescent="0.35">
      <c r="D56" s="15"/>
    </row>
    <row r="57" spans="1:8" ht="16" x14ac:dyDescent="0.5">
      <c r="D57" s="21"/>
    </row>
    <row r="58" spans="1:8" x14ac:dyDescent="0.35">
      <c r="D58" s="15"/>
    </row>
    <row r="59" spans="1:8" x14ac:dyDescent="0.35">
      <c r="D59" s="15"/>
    </row>
    <row r="60" spans="1:8" x14ac:dyDescent="0.35">
      <c r="D60" s="15"/>
    </row>
    <row r="61" spans="1:8" x14ac:dyDescent="0.35">
      <c r="F61" s="5"/>
    </row>
    <row r="68" spans="1:3" x14ac:dyDescent="0.35">
      <c r="B68" s="20"/>
      <c r="C68" s="20"/>
    </row>
    <row r="69" spans="1:3" x14ac:dyDescent="0.35">
      <c r="A69" s="22"/>
      <c r="B69" s="23"/>
      <c r="C69" s="20"/>
    </row>
    <row r="70" spans="1:3" x14ac:dyDescent="0.35">
      <c r="A70" s="22"/>
      <c r="B70" s="23"/>
      <c r="C70" s="20"/>
    </row>
    <row r="71" spans="1:3" x14ac:dyDescent="0.35">
      <c r="B71" s="3"/>
      <c r="C71" s="20"/>
    </row>
    <row r="72" spans="1:3" x14ac:dyDescent="0.35">
      <c r="B72" s="3"/>
      <c r="C72" s="20"/>
    </row>
    <row r="73" spans="1:3" x14ac:dyDescent="0.35">
      <c r="B73" s="3"/>
      <c r="C73" s="20"/>
    </row>
    <row r="74" spans="1:3" x14ac:dyDescent="0.35">
      <c r="B74" s="3"/>
      <c r="C74" s="20"/>
    </row>
    <row r="75" spans="1:3" x14ac:dyDescent="0.35">
      <c r="B75" s="3"/>
      <c r="C75" s="20"/>
    </row>
    <row r="76" spans="1:3" x14ac:dyDescent="0.35">
      <c r="B76" s="3"/>
      <c r="C76" s="20"/>
    </row>
  </sheetData>
  <mergeCells count="9">
    <mergeCell ref="A42:B42"/>
    <mergeCell ref="A1:H1"/>
    <mergeCell ref="A2:H2"/>
    <mergeCell ref="A4:H4"/>
    <mergeCell ref="B6:C7"/>
    <mergeCell ref="F6:G7"/>
    <mergeCell ref="B40:C40"/>
    <mergeCell ref="F40:G40"/>
    <mergeCell ref="E42:G42"/>
  </mergeCells>
  <printOptions horizontalCentered="1"/>
  <pageMargins left="0.19685039370078741" right="0.19685039370078741" top="0.94488188976377963" bottom="0.15748031496062992" header="0.31496062992125984" footer="0.31496062992125984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5"/>
  <sheetViews>
    <sheetView zoomScaleNormal="100" workbookViewId="0">
      <pane xSplit="1" ySplit="5" topLeftCell="B6" activePane="bottomRight" state="frozen"/>
      <selection pane="topRight" activeCell="B1" sqref="B1"/>
      <selection pane="bottomLeft" activeCell="A4" sqref="A4"/>
      <selection pane="bottomRight" activeCell="F27" sqref="F27"/>
    </sheetView>
  </sheetViews>
  <sheetFormatPr defaultColWidth="11" defaultRowHeight="14.5" x14ac:dyDescent="0.35"/>
  <cols>
    <col min="1" max="1" width="14.26953125" bestFit="1" customWidth="1"/>
    <col min="2" max="2" width="11.26953125" style="44" bestFit="1" customWidth="1"/>
    <col min="3" max="3" width="12.54296875" bestFit="1" customWidth="1"/>
    <col min="4" max="4" width="11.54296875" customWidth="1"/>
    <col min="5" max="5" width="12.54296875" bestFit="1" customWidth="1"/>
    <col min="6" max="6" width="11" style="44" bestFit="1" customWidth="1"/>
    <col min="7" max="7" width="12.54296875" style="44" bestFit="1" customWidth="1"/>
    <col min="8" max="8" width="8" style="44" bestFit="1" customWidth="1"/>
    <col min="9" max="9" width="7.1796875" style="44" bestFit="1" customWidth="1"/>
  </cols>
  <sheetData>
    <row r="1" spans="1:11" ht="18.5" x14ac:dyDescent="0.45">
      <c r="A1" s="158" t="s">
        <v>72</v>
      </c>
      <c r="B1" s="158"/>
      <c r="C1" s="158"/>
      <c r="D1" s="158"/>
      <c r="E1" s="158"/>
      <c r="F1" s="158"/>
      <c r="G1" s="158"/>
      <c r="H1" s="158"/>
      <c r="I1" s="158"/>
      <c r="J1" s="134"/>
    </row>
    <row r="2" spans="1:11" ht="18.5" x14ac:dyDescent="0.45">
      <c r="A2" s="83"/>
      <c r="B2" s="83"/>
      <c r="C2" s="83"/>
      <c r="D2" s="83"/>
      <c r="E2" s="83"/>
      <c r="F2" s="83"/>
      <c r="G2" s="83"/>
      <c r="H2" s="83"/>
      <c r="I2" s="83"/>
      <c r="J2" s="134"/>
    </row>
    <row r="3" spans="1:11" ht="15.5" x14ac:dyDescent="0.35">
      <c r="A3" s="159" t="s">
        <v>133</v>
      </c>
      <c r="B3" s="159"/>
      <c r="C3" s="159"/>
      <c r="D3" s="159"/>
      <c r="E3" s="159"/>
      <c r="F3" s="159"/>
      <c r="G3" s="159"/>
      <c r="H3" s="159"/>
      <c r="I3" s="159"/>
      <c r="J3" s="24"/>
    </row>
    <row r="4" spans="1:11" x14ac:dyDescent="0.35">
      <c r="A4" s="40"/>
      <c r="B4" s="40"/>
      <c r="C4" s="40"/>
      <c r="D4" s="40"/>
      <c r="E4" s="40"/>
      <c r="F4" s="40"/>
      <c r="G4" s="40"/>
      <c r="H4" s="160" t="s">
        <v>319</v>
      </c>
      <c r="I4" s="160"/>
      <c r="J4" s="24"/>
    </row>
    <row r="5" spans="1:11" ht="29.5" thickBot="1" x14ac:dyDescent="0.4">
      <c r="A5" s="142" t="s">
        <v>318</v>
      </c>
      <c r="B5" s="142" t="s">
        <v>60</v>
      </c>
      <c r="C5" s="142" t="s">
        <v>73</v>
      </c>
      <c r="D5" s="142" t="s">
        <v>156</v>
      </c>
      <c r="E5" s="142" t="s">
        <v>24</v>
      </c>
      <c r="F5" s="142" t="s">
        <v>74</v>
      </c>
      <c r="G5" s="142" t="s">
        <v>75</v>
      </c>
      <c r="H5" s="142" t="s">
        <v>76</v>
      </c>
      <c r="I5" s="142" t="s">
        <v>77</v>
      </c>
      <c r="J5" s="147"/>
    </row>
    <row r="6" spans="1:11" ht="15" thickTop="1" x14ac:dyDescent="0.35">
      <c r="A6" s="143" t="s">
        <v>13</v>
      </c>
      <c r="I6" s="144"/>
      <c r="J6" s="148"/>
    </row>
    <row r="7" spans="1:11" x14ac:dyDescent="0.35">
      <c r="A7" s="74">
        <v>15320</v>
      </c>
      <c r="B7" s="73" t="s">
        <v>81</v>
      </c>
      <c r="C7" s="135">
        <v>8368</v>
      </c>
      <c r="D7" s="135">
        <v>18</v>
      </c>
      <c r="E7" s="135">
        <f>SUM(C7:D7)</f>
        <v>8386</v>
      </c>
      <c r="F7" s="73" t="s">
        <v>157</v>
      </c>
      <c r="G7" s="136">
        <v>9756</v>
      </c>
      <c r="H7" s="73">
        <v>7.75</v>
      </c>
      <c r="I7" s="73" t="s">
        <v>78</v>
      </c>
      <c r="J7" s="148"/>
    </row>
    <row r="8" spans="1:11" x14ac:dyDescent="0.35">
      <c r="A8" s="74">
        <v>15318</v>
      </c>
      <c r="B8" s="73" t="s">
        <v>81</v>
      </c>
      <c r="C8" s="135">
        <v>256718</v>
      </c>
      <c r="D8" s="135">
        <v>545</v>
      </c>
      <c r="E8" s="135">
        <f>SUM(C8:D8)</f>
        <v>257263</v>
      </c>
      <c r="F8" s="73" t="s">
        <v>157</v>
      </c>
      <c r="G8" s="136">
        <v>299315</v>
      </c>
      <c r="H8" s="73">
        <v>7.75</v>
      </c>
      <c r="I8" s="73" t="s">
        <v>78</v>
      </c>
      <c r="J8" s="148"/>
    </row>
    <row r="9" spans="1:11" x14ac:dyDescent="0.35">
      <c r="A9" s="74">
        <v>3542476</v>
      </c>
      <c r="B9" s="137" t="s">
        <v>82</v>
      </c>
      <c r="C9" s="135">
        <v>38615</v>
      </c>
      <c r="D9" s="135">
        <f>107-10</f>
        <v>97</v>
      </c>
      <c r="E9" s="135">
        <f t="shared" ref="E9" si="0">SUM(C9:D9)</f>
        <v>38712</v>
      </c>
      <c r="F9" s="138"/>
      <c r="G9" s="138"/>
      <c r="H9" s="138"/>
      <c r="I9" s="73" t="s">
        <v>286</v>
      </c>
      <c r="J9" s="148"/>
    </row>
    <row r="10" spans="1:11" ht="15" thickBot="1" x14ac:dyDescent="0.4">
      <c r="A10" s="151" t="s">
        <v>24</v>
      </c>
      <c r="B10" s="152"/>
      <c r="C10" s="99">
        <f>SUM(C7:C9)</f>
        <v>303701</v>
      </c>
      <c r="D10" s="99">
        <f t="shared" ref="D10:E10" si="1">SUM(D7:D9)</f>
        <v>660</v>
      </c>
      <c r="E10" s="99">
        <f t="shared" si="1"/>
        <v>304361</v>
      </c>
      <c r="F10" s="139"/>
      <c r="G10" s="99">
        <f>SUM(G7:G9)</f>
        <v>309071</v>
      </c>
      <c r="H10" s="139"/>
      <c r="I10" s="145"/>
      <c r="J10" s="148"/>
    </row>
    <row r="11" spans="1:11" ht="15" thickTop="1" x14ac:dyDescent="0.35">
      <c r="A11" s="146"/>
      <c r="C11" s="88"/>
      <c r="D11" s="88"/>
      <c r="E11" s="34"/>
      <c r="I11" s="144"/>
      <c r="J11" s="148"/>
    </row>
    <row r="12" spans="1:11" x14ac:dyDescent="0.35">
      <c r="A12" s="143" t="s">
        <v>79</v>
      </c>
      <c r="I12" s="144"/>
      <c r="J12" s="149"/>
    </row>
    <row r="13" spans="1:11" x14ac:dyDescent="0.35">
      <c r="A13" s="74">
        <v>1003921</v>
      </c>
      <c r="B13" s="137" t="s">
        <v>288</v>
      </c>
      <c r="C13" s="135">
        <v>100000</v>
      </c>
      <c r="D13" s="135">
        <f>982-71</f>
        <v>911</v>
      </c>
      <c r="E13" s="135">
        <f t="shared" ref="E13:E18" si="2">SUM(C13:D13)</f>
        <v>100911</v>
      </c>
      <c r="F13" s="138"/>
      <c r="G13" s="138"/>
      <c r="H13" s="138"/>
      <c r="I13" s="73" t="s">
        <v>286</v>
      </c>
      <c r="J13" s="149"/>
      <c r="K13" s="75"/>
    </row>
    <row r="14" spans="1:11" x14ac:dyDescent="0.35">
      <c r="A14" s="74">
        <v>1003938</v>
      </c>
      <c r="B14" s="137" t="s">
        <v>288</v>
      </c>
      <c r="C14" s="135">
        <v>100000</v>
      </c>
      <c r="D14" s="135">
        <f>982-71</f>
        <v>911</v>
      </c>
      <c r="E14" s="135">
        <f t="shared" si="2"/>
        <v>100911</v>
      </c>
      <c r="F14" s="138"/>
      <c r="G14" s="138"/>
      <c r="H14" s="138"/>
      <c r="I14" s="73" t="s">
        <v>286</v>
      </c>
      <c r="J14" s="149"/>
      <c r="K14" s="75"/>
    </row>
    <row r="15" spans="1:11" x14ac:dyDescent="0.35">
      <c r="A15" s="74">
        <v>1003941</v>
      </c>
      <c r="B15" s="137" t="s">
        <v>288</v>
      </c>
      <c r="C15" s="135">
        <v>100000</v>
      </c>
      <c r="D15" s="135">
        <f>982-71</f>
        <v>911</v>
      </c>
      <c r="E15" s="135">
        <f t="shared" si="2"/>
        <v>100911</v>
      </c>
      <c r="F15" s="138"/>
      <c r="G15" s="138"/>
      <c r="H15" s="138"/>
      <c r="I15" s="73" t="s">
        <v>286</v>
      </c>
      <c r="J15" s="149"/>
      <c r="K15" s="75"/>
    </row>
    <row r="16" spans="1:11" x14ac:dyDescent="0.35">
      <c r="A16" s="74">
        <v>1003957</v>
      </c>
      <c r="B16" s="137" t="s">
        <v>288</v>
      </c>
      <c r="C16" s="135">
        <v>100000</v>
      </c>
      <c r="D16" s="135">
        <f>982-71</f>
        <v>911</v>
      </c>
      <c r="E16" s="135">
        <f t="shared" si="2"/>
        <v>100911</v>
      </c>
      <c r="F16" s="138"/>
      <c r="G16" s="138"/>
      <c r="H16" s="138"/>
      <c r="I16" s="73" t="s">
        <v>286</v>
      </c>
      <c r="J16" s="149"/>
      <c r="K16" s="75"/>
    </row>
    <row r="17" spans="1:11" x14ac:dyDescent="0.35">
      <c r="A17" s="74">
        <v>1003962</v>
      </c>
      <c r="B17" s="137" t="s">
        <v>288</v>
      </c>
      <c r="C17" s="135">
        <v>100000</v>
      </c>
      <c r="D17" s="135">
        <f>982-71</f>
        <v>911</v>
      </c>
      <c r="E17" s="135">
        <f t="shared" si="2"/>
        <v>100911</v>
      </c>
      <c r="F17" s="138"/>
      <c r="G17" s="138"/>
      <c r="H17" s="138"/>
      <c r="I17" s="73" t="s">
        <v>286</v>
      </c>
      <c r="J17" s="149"/>
      <c r="K17" s="75"/>
    </row>
    <row r="18" spans="1:11" x14ac:dyDescent="0.35">
      <c r="A18" s="74">
        <v>1004194</v>
      </c>
      <c r="B18" s="137" t="s">
        <v>287</v>
      </c>
      <c r="C18" s="135">
        <v>50000</v>
      </c>
      <c r="D18" s="135">
        <f>129-10</f>
        <v>119</v>
      </c>
      <c r="E18" s="135">
        <f t="shared" si="2"/>
        <v>50119</v>
      </c>
      <c r="F18" s="138"/>
      <c r="G18" s="138"/>
      <c r="H18" s="138"/>
      <c r="I18" s="73" t="s">
        <v>286</v>
      </c>
      <c r="J18" s="149"/>
      <c r="K18" s="75"/>
    </row>
    <row r="19" spans="1:11" ht="15" thickBot="1" x14ac:dyDescent="0.4">
      <c r="A19" s="151" t="s">
        <v>24</v>
      </c>
      <c r="B19" s="152"/>
      <c r="C19" s="99">
        <f>SUM(C13:C18)</f>
        <v>550000</v>
      </c>
      <c r="D19" s="99">
        <f>SUM(D13:D18)</f>
        <v>4674</v>
      </c>
      <c r="E19" s="99">
        <f>SUM(E13:E18)</f>
        <v>554674</v>
      </c>
      <c r="F19" s="139"/>
      <c r="G19" s="99">
        <f>SUM(G13:G18)</f>
        <v>0</v>
      </c>
      <c r="H19" s="139"/>
      <c r="I19" s="145"/>
      <c r="J19" s="149"/>
    </row>
    <row r="20" spans="1:11" ht="15" thickTop="1" x14ac:dyDescent="0.35">
      <c r="A20" s="146"/>
      <c r="C20" s="88"/>
      <c r="D20" s="88"/>
      <c r="E20" s="34"/>
      <c r="I20" s="144"/>
      <c r="J20" s="149"/>
    </row>
    <row r="21" spans="1:11" ht="15" thickBot="1" x14ac:dyDescent="0.4">
      <c r="A21" s="151" t="s">
        <v>80</v>
      </c>
      <c r="B21" s="152"/>
      <c r="C21" s="99">
        <f>+C10+C19</f>
        <v>853701</v>
      </c>
      <c r="D21" s="99">
        <f>+D10+D19</f>
        <v>5334</v>
      </c>
      <c r="E21" s="99">
        <f>+E10+E19</f>
        <v>859035</v>
      </c>
      <c r="F21" s="141"/>
      <c r="G21" s="99">
        <f>+G10+G19</f>
        <v>309071</v>
      </c>
      <c r="H21" s="141"/>
      <c r="I21" s="145"/>
      <c r="J21" s="149"/>
    </row>
    <row r="22" spans="1:11" ht="15" thickTop="1" x14ac:dyDescent="0.35">
      <c r="J22" s="140"/>
    </row>
    <row r="23" spans="1:11" x14ac:dyDescent="0.35">
      <c r="J23" s="140"/>
    </row>
    <row r="24" spans="1:11" x14ac:dyDescent="0.35">
      <c r="E24" s="34"/>
      <c r="J24" s="44"/>
    </row>
    <row r="25" spans="1:11" x14ac:dyDescent="0.35">
      <c r="J25" s="44"/>
    </row>
    <row r="26" spans="1:11" x14ac:dyDescent="0.35">
      <c r="J26" s="44"/>
    </row>
    <row r="27" spans="1:11" x14ac:dyDescent="0.35">
      <c r="J27" s="140"/>
    </row>
    <row r="28" spans="1:11" x14ac:dyDescent="0.35">
      <c r="J28" s="44"/>
    </row>
    <row r="29" spans="1:11" x14ac:dyDescent="0.35">
      <c r="J29" s="44"/>
    </row>
    <row r="30" spans="1:11" x14ac:dyDescent="0.35">
      <c r="J30" s="44"/>
    </row>
    <row r="31" spans="1:11" x14ac:dyDescent="0.35">
      <c r="J31" s="44"/>
    </row>
    <row r="32" spans="1:11" x14ac:dyDescent="0.35">
      <c r="J32" s="44"/>
    </row>
    <row r="33" spans="10:10" x14ac:dyDescent="0.35">
      <c r="J33" s="44"/>
    </row>
    <row r="34" spans="10:10" x14ac:dyDescent="0.35">
      <c r="J34" s="44"/>
    </row>
    <row r="35" spans="10:10" x14ac:dyDescent="0.35">
      <c r="J35" s="44"/>
    </row>
  </sheetData>
  <mergeCells count="6">
    <mergeCell ref="A1:I1"/>
    <mergeCell ref="A3:I3"/>
    <mergeCell ref="A21:B21"/>
    <mergeCell ref="A19:B19"/>
    <mergeCell ref="A10:B10"/>
    <mergeCell ref="H4:I4"/>
  </mergeCells>
  <printOptions horizontalCentered="1"/>
  <pageMargins left="0.31496062992125984" right="0.31496062992125984" top="0.74803149606299213" bottom="0.35433070866141736" header="0.31496062992125984" footer="0.31496062992125984"/>
  <pageSetup paperSize="9" scale="9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H16"/>
  <sheetViews>
    <sheetView workbookViewId="0">
      <selection activeCell="I5" sqref="I5"/>
    </sheetView>
  </sheetViews>
  <sheetFormatPr defaultRowHeight="14.5" x14ac:dyDescent="0.35"/>
  <cols>
    <col min="1" max="1" width="22.54296875" bestFit="1" customWidth="1"/>
    <col min="2" max="2" width="7" style="44" bestFit="1" customWidth="1"/>
    <col min="3" max="3" width="12.54296875" bestFit="1" customWidth="1"/>
    <col min="4" max="4" width="10" bestFit="1" customWidth="1"/>
    <col min="5" max="6" width="11.54296875" bestFit="1" customWidth="1"/>
    <col min="7" max="7" width="12.54296875" customWidth="1"/>
    <col min="8" max="8" width="12.26953125" bestFit="1" customWidth="1"/>
  </cols>
  <sheetData>
    <row r="2" spans="1:8" ht="18.5" x14ac:dyDescent="0.35">
      <c r="A2" s="161" t="s">
        <v>66</v>
      </c>
      <c r="B2" s="161"/>
      <c r="C2" s="161"/>
      <c r="D2" s="161"/>
      <c r="E2" s="161"/>
      <c r="F2" s="161"/>
      <c r="G2" s="161"/>
      <c r="H2" s="161"/>
    </row>
    <row r="3" spans="1:8" ht="4" customHeight="1" x14ac:dyDescent="0.35">
      <c r="A3" s="117"/>
      <c r="B3" s="117"/>
      <c r="C3" s="117"/>
      <c r="D3" s="117"/>
      <c r="E3" s="117"/>
      <c r="F3" s="117"/>
      <c r="G3" s="117"/>
      <c r="H3" s="117"/>
    </row>
    <row r="4" spans="1:8" x14ac:dyDescent="0.35">
      <c r="A4" s="153" t="s">
        <v>134</v>
      </c>
      <c r="B4" s="153"/>
      <c r="C4" s="153"/>
      <c r="D4" s="153"/>
      <c r="E4" s="153"/>
      <c r="F4" s="153"/>
      <c r="G4" s="153"/>
      <c r="H4" s="153"/>
    </row>
    <row r="5" spans="1:8" x14ac:dyDescent="0.35">
      <c r="A5" s="40"/>
      <c r="B5" s="40"/>
      <c r="C5" s="40"/>
      <c r="D5" s="40"/>
      <c r="E5" s="40"/>
      <c r="F5" s="40"/>
      <c r="G5" s="40"/>
      <c r="H5" s="40"/>
    </row>
    <row r="6" spans="1:8" ht="73" thickBot="1" x14ac:dyDescent="0.4">
      <c r="A6" s="118" t="s">
        <v>62</v>
      </c>
      <c r="B6" s="119" t="s">
        <v>63</v>
      </c>
      <c r="C6" s="119" t="s">
        <v>135</v>
      </c>
      <c r="D6" s="119" t="s">
        <v>136</v>
      </c>
      <c r="E6" s="119" t="s">
        <v>137</v>
      </c>
      <c r="F6" s="119" t="s">
        <v>138</v>
      </c>
      <c r="G6" s="119" t="s">
        <v>64</v>
      </c>
      <c r="H6" s="120" t="s">
        <v>139</v>
      </c>
    </row>
    <row r="7" spans="1:8" s="127" customFormat="1" ht="20.5" customHeight="1" thickTop="1" x14ac:dyDescent="0.35">
      <c r="A7" s="121" t="s">
        <v>67</v>
      </c>
      <c r="B7" s="122">
        <v>0.1</v>
      </c>
      <c r="C7" s="123">
        <v>3951</v>
      </c>
      <c r="D7" s="124">
        <v>0</v>
      </c>
      <c r="E7" s="124">
        <v>0</v>
      </c>
      <c r="F7" s="124">
        <f t="shared" ref="F7:F12" si="0">C7+D7+E7</f>
        <v>3951</v>
      </c>
      <c r="G7" s="125">
        <f t="shared" ref="G7:G12" si="1">ROUND(((D7+C7)*B7)+(E7*B7)/2,0)</f>
        <v>395</v>
      </c>
      <c r="H7" s="126">
        <f t="shared" ref="H7:H12" si="2">F7-G7</f>
        <v>3556</v>
      </c>
    </row>
    <row r="8" spans="1:8" s="127" customFormat="1" ht="20.5" customHeight="1" x14ac:dyDescent="0.35">
      <c r="A8" s="121" t="s">
        <v>83</v>
      </c>
      <c r="B8" s="122">
        <v>0.1</v>
      </c>
      <c r="C8" s="124">
        <v>613</v>
      </c>
      <c r="D8" s="124">
        <v>0</v>
      </c>
      <c r="E8" s="124">
        <v>0</v>
      </c>
      <c r="F8" s="124">
        <f t="shared" si="0"/>
        <v>613</v>
      </c>
      <c r="G8" s="125">
        <f t="shared" si="1"/>
        <v>61</v>
      </c>
      <c r="H8" s="126">
        <f t="shared" si="2"/>
        <v>552</v>
      </c>
    </row>
    <row r="9" spans="1:8" s="127" customFormat="1" ht="20.5" customHeight="1" x14ac:dyDescent="0.35">
      <c r="A9" s="121" t="s">
        <v>68</v>
      </c>
      <c r="B9" s="128">
        <v>0.15</v>
      </c>
      <c r="C9" s="125">
        <v>7901</v>
      </c>
      <c r="D9" s="124">
        <v>0</v>
      </c>
      <c r="E9" s="125">
        <v>0</v>
      </c>
      <c r="F9" s="125">
        <f t="shared" si="0"/>
        <v>7901</v>
      </c>
      <c r="G9" s="125">
        <f t="shared" si="1"/>
        <v>1185</v>
      </c>
      <c r="H9" s="129">
        <f t="shared" si="2"/>
        <v>6716</v>
      </c>
    </row>
    <row r="10" spans="1:8" s="127" customFormat="1" ht="20.5" customHeight="1" x14ac:dyDescent="0.35">
      <c r="A10" s="121" t="s">
        <v>65</v>
      </c>
      <c r="B10" s="128">
        <v>0.15</v>
      </c>
      <c r="C10" s="125">
        <v>24798</v>
      </c>
      <c r="D10" s="125">
        <v>0</v>
      </c>
      <c r="E10" s="125">
        <v>0</v>
      </c>
      <c r="F10" s="124">
        <f t="shared" ref="F10" si="3">C10+D10+E10</f>
        <v>24798</v>
      </c>
      <c r="G10" s="125">
        <f t="shared" ref="G10" si="4">ROUND(((D10+C10)*B10)+(E10*B10)/2,0)</f>
        <v>3720</v>
      </c>
      <c r="H10" s="126">
        <f t="shared" ref="H10" si="5">F10-G10</f>
        <v>21078</v>
      </c>
    </row>
    <row r="11" spans="1:8" s="127" customFormat="1" ht="20.5" customHeight="1" x14ac:dyDescent="0.35">
      <c r="A11" s="121" t="s">
        <v>69</v>
      </c>
      <c r="B11" s="128">
        <v>0.15</v>
      </c>
      <c r="C11" s="125">
        <v>5664</v>
      </c>
      <c r="D11" s="125">
        <v>0</v>
      </c>
      <c r="E11" s="125">
        <v>0</v>
      </c>
      <c r="F11" s="124">
        <f t="shared" ref="F11" si="6">C11+D11+E11</f>
        <v>5664</v>
      </c>
      <c r="G11" s="125">
        <f t="shared" ref="G11" si="7">ROUND(((D11+C11)*B11)+(E11*B11)/2,0)</f>
        <v>850</v>
      </c>
      <c r="H11" s="126">
        <f t="shared" ref="H11" si="8">F11-G11</f>
        <v>4814</v>
      </c>
    </row>
    <row r="12" spans="1:8" s="127" customFormat="1" ht="20.5" customHeight="1" x14ac:dyDescent="0.35">
      <c r="A12" s="121" t="s">
        <v>70</v>
      </c>
      <c r="B12" s="122">
        <v>0.15</v>
      </c>
      <c r="C12" s="124">
        <v>161755</v>
      </c>
      <c r="D12" s="124">
        <v>0</v>
      </c>
      <c r="E12" s="124">
        <v>0</v>
      </c>
      <c r="F12" s="124">
        <f t="shared" si="0"/>
        <v>161755</v>
      </c>
      <c r="G12" s="125">
        <f t="shared" si="1"/>
        <v>24263</v>
      </c>
      <c r="H12" s="126">
        <f t="shared" si="2"/>
        <v>137492</v>
      </c>
    </row>
    <row r="13" spans="1:8" s="127" customFormat="1" ht="20.5" customHeight="1" thickBot="1" x14ac:dyDescent="0.4">
      <c r="A13" s="130" t="s">
        <v>24</v>
      </c>
      <c r="B13" s="131"/>
      <c r="C13" s="132">
        <f t="shared" ref="C13:H13" si="9">SUM(C7:C12)</f>
        <v>204682</v>
      </c>
      <c r="D13" s="132">
        <f t="shared" si="9"/>
        <v>0</v>
      </c>
      <c r="E13" s="132">
        <f t="shared" si="9"/>
        <v>0</v>
      </c>
      <c r="F13" s="132">
        <f t="shared" si="9"/>
        <v>204682</v>
      </c>
      <c r="G13" s="132">
        <f t="shared" si="9"/>
        <v>30474</v>
      </c>
      <c r="H13" s="133">
        <f t="shared" si="9"/>
        <v>174208</v>
      </c>
    </row>
    <row r="14" spans="1:8" ht="15" thickTop="1" x14ac:dyDescent="0.35">
      <c r="G14" s="34">
        <f>-G11</f>
        <v>-850</v>
      </c>
      <c r="H14" s="34" t="s">
        <v>71</v>
      </c>
    </row>
    <row r="15" spans="1:8" x14ac:dyDescent="0.35">
      <c r="G15" s="34">
        <f>-G12</f>
        <v>-24263</v>
      </c>
      <c r="H15" s="34" t="s">
        <v>71</v>
      </c>
    </row>
    <row r="16" spans="1:8" x14ac:dyDescent="0.35">
      <c r="G16" s="34">
        <f>G13+G14+G15</f>
        <v>5361</v>
      </c>
      <c r="H16" s="34" t="s">
        <v>289</v>
      </c>
    </row>
  </sheetData>
  <mergeCells count="2">
    <mergeCell ref="A2:H2"/>
    <mergeCell ref="A4:H4"/>
  </mergeCells>
  <printOptions horizontalCentered="1"/>
  <pageMargins left="0.31496062992125984" right="0.31496062992125984" top="0.74803149606299213" bottom="0.15748031496062992" header="0.31496062992125984" footer="0.31496062992125984"/>
  <pageSetup paperSize="9" scale="97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F60"/>
  <sheetViews>
    <sheetView workbookViewId="0">
      <selection activeCell="C64" sqref="C64"/>
    </sheetView>
  </sheetViews>
  <sheetFormatPr defaultRowHeight="14.5" x14ac:dyDescent="0.35"/>
  <cols>
    <col min="1" max="1" width="3" customWidth="1"/>
    <col min="2" max="2" width="12.54296875" bestFit="1" customWidth="1"/>
    <col min="3" max="3" width="43.90625" customWidth="1"/>
    <col min="4" max="4" width="12.54296875" bestFit="1" customWidth="1"/>
    <col min="6" max="6" width="12.26953125" bestFit="1" customWidth="1"/>
  </cols>
  <sheetData>
    <row r="1" spans="2:4" ht="18.5" x14ac:dyDescent="0.45">
      <c r="B1" s="158" t="s">
        <v>321</v>
      </c>
      <c r="C1" s="158"/>
      <c r="D1" s="158"/>
    </row>
    <row r="2" spans="2:4" x14ac:dyDescent="0.35">
      <c r="B2" s="40"/>
      <c r="C2" s="40"/>
      <c r="D2" s="40"/>
    </row>
    <row r="3" spans="2:4" x14ac:dyDescent="0.35">
      <c r="B3" s="153" t="s">
        <v>132</v>
      </c>
      <c r="C3" s="153"/>
      <c r="D3" s="153"/>
    </row>
    <row r="4" spans="2:4" x14ac:dyDescent="0.35">
      <c r="B4" s="40"/>
      <c r="C4" s="40"/>
      <c r="D4" s="40"/>
    </row>
    <row r="5" spans="2:4" ht="15" thickBot="1" x14ac:dyDescent="0.4">
      <c r="B5" s="107" t="s">
        <v>109</v>
      </c>
      <c r="C5" s="108" t="s">
        <v>79</v>
      </c>
      <c r="D5" s="107" t="s">
        <v>131</v>
      </c>
    </row>
    <row r="6" spans="2:4" ht="15" thickTop="1" x14ac:dyDescent="0.35">
      <c r="B6" s="28">
        <v>297472</v>
      </c>
      <c r="C6" s="1" t="s">
        <v>36</v>
      </c>
      <c r="D6" s="4">
        <f>B9</f>
        <v>300445</v>
      </c>
    </row>
    <row r="7" spans="2:4" x14ac:dyDescent="0.35">
      <c r="B7" s="28">
        <v>0</v>
      </c>
      <c r="C7" s="1" t="s">
        <v>37</v>
      </c>
      <c r="D7" s="4">
        <v>100</v>
      </c>
    </row>
    <row r="8" spans="2:4" x14ac:dyDescent="0.35">
      <c r="B8" s="28">
        <v>2973</v>
      </c>
      <c r="C8" s="1" t="s">
        <v>127</v>
      </c>
      <c r="D8" s="4"/>
    </row>
    <row r="9" spans="2:4" ht="15" thickBot="1" x14ac:dyDescent="0.4">
      <c r="B9" s="85">
        <f>SUM(B6:B8)</f>
        <v>300445</v>
      </c>
      <c r="C9" s="116" t="s">
        <v>105</v>
      </c>
      <c r="D9" s="85">
        <f>SUM(D6:D8)</f>
        <v>300545</v>
      </c>
    </row>
    <row r="10" spans="2:4" ht="15" thickTop="1" x14ac:dyDescent="0.35">
      <c r="B10" s="28"/>
      <c r="C10" s="1"/>
      <c r="D10" s="4"/>
    </row>
    <row r="11" spans="2:4" ht="15" thickBot="1" x14ac:dyDescent="0.4">
      <c r="B11" s="112"/>
      <c r="C11" s="113" t="s">
        <v>13</v>
      </c>
      <c r="D11" s="114"/>
    </row>
    <row r="12" spans="2:4" ht="15" thickTop="1" x14ac:dyDescent="0.35">
      <c r="B12" s="28">
        <v>261677</v>
      </c>
      <c r="C12" s="1" t="s">
        <v>40</v>
      </c>
      <c r="D12" s="4">
        <f>B15</f>
        <v>282196</v>
      </c>
    </row>
    <row r="13" spans="2:4" x14ac:dyDescent="0.35">
      <c r="B13" s="28">
        <v>6636</v>
      </c>
      <c r="C13" s="1" t="s">
        <v>37</v>
      </c>
      <c r="D13" s="4">
        <v>6636</v>
      </c>
    </row>
    <row r="14" spans="2:4" x14ac:dyDescent="0.35">
      <c r="B14" s="28">
        <v>13883</v>
      </c>
      <c r="C14" s="1" t="s">
        <v>39</v>
      </c>
      <c r="D14" s="4">
        <v>15737</v>
      </c>
    </row>
    <row r="15" spans="2:4" ht="15" thickBot="1" x14ac:dyDescent="0.4">
      <c r="B15" s="85">
        <f>SUM(B11:B14)</f>
        <v>282196</v>
      </c>
      <c r="C15" s="116" t="s">
        <v>106</v>
      </c>
      <c r="D15" s="85">
        <f>SUM(D11:D14)</f>
        <v>304569</v>
      </c>
    </row>
    <row r="16" spans="2:4" ht="15" thickTop="1" x14ac:dyDescent="0.35">
      <c r="B16" s="28"/>
      <c r="D16" s="4"/>
    </row>
    <row r="17" spans="2:6" ht="15" thickBot="1" x14ac:dyDescent="0.4">
      <c r="B17" s="112"/>
      <c r="C17" s="113" t="s">
        <v>41</v>
      </c>
      <c r="D17" s="115"/>
    </row>
    <row r="18" spans="2:6" ht="15" thickTop="1" x14ac:dyDescent="0.35">
      <c r="B18" s="28">
        <v>367080</v>
      </c>
      <c r="C18" s="1" t="s">
        <v>42</v>
      </c>
      <c r="D18" s="4">
        <f>B21</f>
        <v>403788</v>
      </c>
    </row>
    <row r="19" spans="2:6" x14ac:dyDescent="0.35">
      <c r="B19" s="28">
        <v>36708</v>
      </c>
      <c r="C19" s="1" t="s">
        <v>37</v>
      </c>
      <c r="D19" s="4">
        <v>36708</v>
      </c>
    </row>
    <row r="20" spans="2:6" x14ac:dyDescent="0.35">
      <c r="B20" s="28"/>
      <c r="C20" s="1" t="s">
        <v>295</v>
      </c>
      <c r="D20" s="4">
        <f>-348864-91632</f>
        <v>-440496</v>
      </c>
      <c r="F20" s="34"/>
    </row>
    <row r="21" spans="2:6" ht="15" thickBot="1" x14ac:dyDescent="0.4">
      <c r="B21" s="85">
        <f>SUM(B16:B19)</f>
        <v>403788</v>
      </c>
      <c r="C21" s="116" t="s">
        <v>107</v>
      </c>
      <c r="D21" s="85">
        <f>SUM(D17:D20)</f>
        <v>0</v>
      </c>
    </row>
    <row r="22" spans="2:6" ht="15" thickTop="1" x14ac:dyDescent="0.35">
      <c r="B22" s="28"/>
      <c r="C22" s="24"/>
      <c r="D22" s="4"/>
    </row>
    <row r="23" spans="2:6" ht="15" thickBot="1" x14ac:dyDescent="0.4">
      <c r="B23" s="112"/>
      <c r="C23" s="113" t="s">
        <v>56</v>
      </c>
      <c r="D23" s="114"/>
    </row>
    <row r="24" spans="2:6" ht="15" thickTop="1" x14ac:dyDescent="0.35">
      <c r="B24" s="28">
        <v>448459</v>
      </c>
      <c r="C24" s="1" t="s">
        <v>42</v>
      </c>
      <c r="D24" s="4">
        <f>B28</f>
        <v>495481</v>
      </c>
    </row>
    <row r="25" spans="2:6" x14ac:dyDescent="0.35">
      <c r="B25" s="28">
        <v>28224</v>
      </c>
      <c r="C25" s="1" t="s">
        <v>37</v>
      </c>
      <c r="D25" s="4">
        <v>28224</v>
      </c>
      <c r="F25" s="34"/>
    </row>
    <row r="26" spans="2:6" x14ac:dyDescent="0.35">
      <c r="B26" s="28">
        <v>18798</v>
      </c>
      <c r="C26" s="1" t="s">
        <v>39</v>
      </c>
      <c r="D26" s="4">
        <v>15571</v>
      </c>
    </row>
    <row r="27" spans="2:6" x14ac:dyDescent="0.35">
      <c r="B27" s="28">
        <v>0</v>
      </c>
      <c r="C27" s="1" t="s">
        <v>295</v>
      </c>
      <c r="D27" s="4">
        <v>-539276</v>
      </c>
    </row>
    <row r="28" spans="2:6" ht="15" thickBot="1" x14ac:dyDescent="0.4">
      <c r="B28" s="85">
        <f>SUM(B23:B27)</f>
        <v>495481</v>
      </c>
      <c r="C28" s="108" t="s">
        <v>108</v>
      </c>
      <c r="D28" s="85">
        <f>SUM(D23:D27)</f>
        <v>0</v>
      </c>
    </row>
    <row r="29" spans="2:6" ht="15" thickTop="1" x14ac:dyDescent="0.35">
      <c r="B29" s="28"/>
      <c r="C29" s="2"/>
      <c r="D29" s="4"/>
    </row>
    <row r="30" spans="2:6" ht="15" thickBot="1" x14ac:dyDescent="0.4">
      <c r="B30" s="112"/>
      <c r="C30" s="113" t="s">
        <v>110</v>
      </c>
      <c r="D30" s="114"/>
    </row>
    <row r="31" spans="2:6" ht="15" thickTop="1" x14ac:dyDescent="0.35">
      <c r="B31" s="28">
        <v>0</v>
      </c>
      <c r="C31" s="1" t="s">
        <v>42</v>
      </c>
      <c r="D31" s="4">
        <f>B33</f>
        <v>1680</v>
      </c>
    </row>
    <row r="32" spans="2:6" x14ac:dyDescent="0.35">
      <c r="B32" s="28">
        <v>1680</v>
      </c>
      <c r="C32" s="1" t="s">
        <v>37</v>
      </c>
      <c r="D32" s="4">
        <v>1680</v>
      </c>
    </row>
    <row r="33" spans="2:5" ht="15" thickBot="1" x14ac:dyDescent="0.4">
      <c r="B33" s="85">
        <f>SUM(B29:B32)</f>
        <v>1680</v>
      </c>
      <c r="C33" s="108" t="s">
        <v>111</v>
      </c>
      <c r="D33" s="85">
        <f>SUM(D29:D32)</f>
        <v>3360</v>
      </c>
    </row>
    <row r="34" spans="2:5" ht="15" thickTop="1" x14ac:dyDescent="0.35">
      <c r="B34" s="35"/>
      <c r="C34" s="1"/>
      <c r="D34" s="13"/>
    </row>
    <row r="35" spans="2:5" ht="15" thickBot="1" x14ac:dyDescent="0.4">
      <c r="B35" s="98">
        <f>B9+B15+B21+B28+B33</f>
        <v>1483590</v>
      </c>
      <c r="C35" s="91" t="s">
        <v>112</v>
      </c>
      <c r="D35" s="99">
        <f>D9+D15+D21+D28+D33</f>
        <v>608474</v>
      </c>
      <c r="E35" s="37"/>
    </row>
    <row r="36" spans="2:5" ht="15" thickTop="1" x14ac:dyDescent="0.35"/>
    <row r="37" spans="2:5" ht="0.5" customHeight="1" x14ac:dyDescent="0.35"/>
    <row r="38" spans="2:5" hidden="1" x14ac:dyDescent="0.35">
      <c r="B38" s="166" t="s">
        <v>130</v>
      </c>
      <c r="C38" s="167"/>
      <c r="D38" s="168"/>
    </row>
    <row r="39" spans="2:5" hidden="1" x14ac:dyDescent="0.35">
      <c r="B39" s="109"/>
      <c r="C39" s="110"/>
      <c r="D39" s="111"/>
    </row>
    <row r="40" spans="2:5" ht="15" hidden="1" thickBot="1" x14ac:dyDescent="0.4">
      <c r="B40" s="103" t="s">
        <v>118</v>
      </c>
      <c r="C40" s="104" t="s">
        <v>317</v>
      </c>
      <c r="D40" s="105" t="s">
        <v>316</v>
      </c>
    </row>
    <row r="41" spans="2:5" ht="15" hidden="1" thickTop="1" x14ac:dyDescent="0.35">
      <c r="B41" s="100">
        <v>102</v>
      </c>
      <c r="C41" s="101" t="s">
        <v>291</v>
      </c>
      <c r="D41" s="102">
        <v>949</v>
      </c>
    </row>
    <row r="42" spans="2:5" hidden="1" x14ac:dyDescent="0.35">
      <c r="B42" s="56">
        <v>301</v>
      </c>
      <c r="C42" s="74" t="s">
        <v>292</v>
      </c>
      <c r="D42" s="81">
        <v>42</v>
      </c>
    </row>
    <row r="43" spans="2:5" hidden="1" x14ac:dyDescent="0.35">
      <c r="B43" s="56">
        <v>501</v>
      </c>
      <c r="C43" s="74" t="s">
        <v>293</v>
      </c>
      <c r="D43" s="81">
        <v>7952</v>
      </c>
    </row>
    <row r="44" spans="2:5" hidden="1" x14ac:dyDescent="0.35">
      <c r="B44" s="56">
        <v>702</v>
      </c>
      <c r="C44" s="74" t="s">
        <v>294</v>
      </c>
      <c r="D44" s="81">
        <v>16962</v>
      </c>
    </row>
    <row r="45" spans="2:5" ht="15" hidden="1" thickBot="1" x14ac:dyDescent="0.4">
      <c r="B45" s="103" t="s">
        <v>24</v>
      </c>
      <c r="C45" s="103"/>
      <c r="D45" s="106">
        <f>SUM(D41:D44)</f>
        <v>25905</v>
      </c>
    </row>
    <row r="46" spans="2:5" ht="12.5" customHeight="1" x14ac:dyDescent="0.35"/>
    <row r="47" spans="2:5" hidden="1" x14ac:dyDescent="0.35"/>
    <row r="48" spans="2:5" hidden="1" x14ac:dyDescent="0.35">
      <c r="B48" s="162" t="s">
        <v>320</v>
      </c>
      <c r="C48" s="162"/>
      <c r="D48" s="162"/>
    </row>
    <row r="49" spans="2:4" hidden="1" x14ac:dyDescent="0.35">
      <c r="B49" s="163"/>
      <c r="C49" s="164"/>
      <c r="D49" s="165"/>
    </row>
    <row r="50" spans="2:4" ht="15" hidden="1" thickBot="1" x14ac:dyDescent="0.4">
      <c r="B50" s="108" t="s">
        <v>95</v>
      </c>
      <c r="C50" s="108" t="s">
        <v>62</v>
      </c>
      <c r="D50" s="108" t="s">
        <v>129</v>
      </c>
    </row>
    <row r="51" spans="2:4" ht="15" hidden="1" thickTop="1" x14ac:dyDescent="0.35">
      <c r="B51" s="8">
        <v>23200</v>
      </c>
      <c r="C51" s="150" t="s">
        <v>159</v>
      </c>
      <c r="D51" s="8">
        <f>179666-91632</f>
        <v>88034</v>
      </c>
    </row>
    <row r="52" spans="2:4" hidden="1" x14ac:dyDescent="0.35">
      <c r="B52" s="12">
        <v>2465</v>
      </c>
      <c r="C52" s="48" t="s">
        <v>96</v>
      </c>
      <c r="D52" s="12">
        <v>54220</v>
      </c>
    </row>
    <row r="53" spans="2:4" hidden="1" x14ac:dyDescent="0.35">
      <c r="B53" s="12">
        <v>8182</v>
      </c>
      <c r="C53" s="48" t="s">
        <v>97</v>
      </c>
      <c r="D53" s="12">
        <v>0</v>
      </c>
    </row>
    <row r="54" spans="2:4" hidden="1" x14ac:dyDescent="0.35">
      <c r="B54" s="12">
        <v>6500</v>
      </c>
      <c r="C54" s="48" t="s">
        <v>98</v>
      </c>
      <c r="D54" s="12">
        <v>0</v>
      </c>
    </row>
    <row r="55" spans="2:4" hidden="1" x14ac:dyDescent="0.35">
      <c r="B55" s="12">
        <v>25518</v>
      </c>
      <c r="C55" s="48" t="s">
        <v>99</v>
      </c>
      <c r="D55" s="12">
        <v>25960</v>
      </c>
    </row>
    <row r="56" spans="2:4" hidden="1" x14ac:dyDescent="0.35">
      <c r="B56" s="12">
        <v>4838</v>
      </c>
      <c r="C56" s="48" t="s">
        <v>100</v>
      </c>
      <c r="D56" s="12">
        <v>5192</v>
      </c>
    </row>
    <row r="57" spans="2:4" hidden="1" x14ac:dyDescent="0.35">
      <c r="B57" s="12">
        <v>7257</v>
      </c>
      <c r="C57" s="48" t="s">
        <v>101</v>
      </c>
      <c r="D57" s="12">
        <v>7788</v>
      </c>
    </row>
    <row r="58" spans="2:4" hidden="1" x14ac:dyDescent="0.35">
      <c r="B58" s="12">
        <v>4600</v>
      </c>
      <c r="C58" s="48" t="s">
        <v>90</v>
      </c>
      <c r="D58" s="12">
        <v>0</v>
      </c>
    </row>
    <row r="59" spans="2:4" ht="15" hidden="1" thickBot="1" x14ac:dyDescent="0.4">
      <c r="B59" s="99">
        <f>SUM(B51:B58)</f>
        <v>82560</v>
      </c>
      <c r="C59" s="104" t="s">
        <v>24</v>
      </c>
      <c r="D59" s="99">
        <f>SUM(D51:D58)</f>
        <v>181194</v>
      </c>
    </row>
    <row r="60" spans="2:4" ht="15" hidden="1" thickTop="1" x14ac:dyDescent="0.35"/>
  </sheetData>
  <mergeCells count="5">
    <mergeCell ref="B48:D48"/>
    <mergeCell ref="B49:D49"/>
    <mergeCell ref="B3:D3"/>
    <mergeCell ref="B1:D1"/>
    <mergeCell ref="B38:D38"/>
  </mergeCells>
  <printOptions horizontalCentered="1"/>
  <pageMargins left="0.23622047244094491" right="0.11811023622047245" top="0.74803149606299213" bottom="0.35433070866141736" header="0.31496062992125984" footer="0.31496062992125984"/>
  <pageSetup paperSize="9" scale="85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>
      <selection activeCell="A2" sqref="A2:D8"/>
    </sheetView>
  </sheetViews>
  <sheetFormatPr defaultRowHeight="14.5" x14ac:dyDescent="0.35"/>
  <cols>
    <col min="1" max="1" width="5.7265625" style="44" bestFit="1" customWidth="1"/>
    <col min="2" max="2" width="7.81640625" style="44" bestFit="1" customWidth="1"/>
    <col min="3" max="3" width="46.7265625" bestFit="1" customWidth="1"/>
    <col min="4" max="4" width="12.36328125" style="36" customWidth="1"/>
  </cols>
  <sheetData>
    <row r="1" spans="1:4" x14ac:dyDescent="0.35">
      <c r="A1" s="162" t="s">
        <v>66</v>
      </c>
      <c r="B1" s="162"/>
      <c r="C1" s="162"/>
      <c r="D1" s="162"/>
    </row>
    <row r="2" spans="1:4" x14ac:dyDescent="0.35">
      <c r="A2" s="169" t="s">
        <v>130</v>
      </c>
      <c r="B2" s="170"/>
      <c r="C2" s="170"/>
      <c r="D2" s="170"/>
    </row>
    <row r="3" spans="1:4" x14ac:dyDescent="0.35">
      <c r="A3" s="55" t="s">
        <v>113</v>
      </c>
      <c r="B3" s="55" t="s">
        <v>118</v>
      </c>
      <c r="C3" s="43" t="s">
        <v>119</v>
      </c>
      <c r="D3" s="80" t="s">
        <v>87</v>
      </c>
    </row>
    <row r="4" spans="1:4" x14ac:dyDescent="0.35">
      <c r="A4" s="56">
        <v>1</v>
      </c>
      <c r="B4" s="56">
        <v>102</v>
      </c>
      <c r="C4" s="74" t="s">
        <v>291</v>
      </c>
      <c r="D4" s="81">
        <v>949</v>
      </c>
    </row>
    <row r="5" spans="1:4" x14ac:dyDescent="0.35">
      <c r="A5" s="56">
        <v>2</v>
      </c>
      <c r="B5" s="56">
        <v>301</v>
      </c>
      <c r="C5" s="74" t="s">
        <v>292</v>
      </c>
      <c r="D5" s="81">
        <v>42</v>
      </c>
    </row>
    <row r="6" spans="1:4" x14ac:dyDescent="0.35">
      <c r="A6" s="56">
        <v>3</v>
      </c>
      <c r="B6" s="56">
        <v>501</v>
      </c>
      <c r="C6" s="74" t="s">
        <v>293</v>
      </c>
      <c r="D6" s="81">
        <v>7952</v>
      </c>
    </row>
    <row r="7" spans="1:4" x14ac:dyDescent="0.35">
      <c r="A7" s="56">
        <v>4</v>
      </c>
      <c r="B7" s="56">
        <v>702</v>
      </c>
      <c r="C7" s="74" t="s">
        <v>294</v>
      </c>
      <c r="D7" s="81">
        <v>16962</v>
      </c>
    </row>
    <row r="8" spans="1:4" x14ac:dyDescent="0.35">
      <c r="A8" s="169" t="s">
        <v>24</v>
      </c>
      <c r="B8" s="169"/>
      <c r="C8" s="169"/>
      <c r="D8" s="80">
        <f>SUM(D4:D7)</f>
        <v>25905</v>
      </c>
    </row>
  </sheetData>
  <mergeCells count="3">
    <mergeCell ref="A2:D2"/>
    <mergeCell ref="A1:D1"/>
    <mergeCell ref="A8:C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>
      <selection sqref="A1:C13"/>
    </sheetView>
  </sheetViews>
  <sheetFormatPr defaultRowHeight="14.5" x14ac:dyDescent="0.35"/>
  <cols>
    <col min="1" max="1" width="11.54296875" bestFit="1" customWidth="1"/>
    <col min="2" max="2" width="27.1796875" bestFit="1" customWidth="1"/>
    <col min="3" max="3" width="11.54296875" bestFit="1" customWidth="1"/>
  </cols>
  <sheetData>
    <row r="1" spans="1:3" x14ac:dyDescent="0.35">
      <c r="A1" s="162" t="s">
        <v>122</v>
      </c>
      <c r="B1" s="162"/>
      <c r="C1" s="162"/>
    </row>
    <row r="2" spans="1:3" x14ac:dyDescent="0.35">
      <c r="A2" s="162" t="s">
        <v>121</v>
      </c>
      <c r="B2" s="162"/>
      <c r="C2" s="162"/>
    </row>
    <row r="3" spans="1:3" x14ac:dyDescent="0.35">
      <c r="A3" s="49" t="s">
        <v>95</v>
      </c>
      <c r="B3" s="49" t="s">
        <v>62</v>
      </c>
      <c r="C3" s="49" t="s">
        <v>129</v>
      </c>
    </row>
    <row r="4" spans="1:3" x14ac:dyDescent="0.35">
      <c r="A4" s="12">
        <v>23200</v>
      </c>
      <c r="B4" s="48" t="s">
        <v>159</v>
      </c>
      <c r="C4" s="76">
        <f>179666-91632</f>
        <v>88034</v>
      </c>
    </row>
    <row r="5" spans="1:3" x14ac:dyDescent="0.35">
      <c r="A5" s="12">
        <v>2465</v>
      </c>
      <c r="B5" s="48" t="s">
        <v>96</v>
      </c>
      <c r="C5" s="76">
        <v>54220</v>
      </c>
    </row>
    <row r="6" spans="1:3" x14ac:dyDescent="0.35">
      <c r="A6" s="12">
        <v>8182</v>
      </c>
      <c r="B6" s="48" t="s">
        <v>97</v>
      </c>
      <c r="C6" s="12">
        <v>0</v>
      </c>
    </row>
    <row r="7" spans="1:3" x14ac:dyDescent="0.35">
      <c r="A7" s="12">
        <v>6500</v>
      </c>
      <c r="B7" s="48" t="s">
        <v>98</v>
      </c>
      <c r="C7" s="12">
        <v>0</v>
      </c>
    </row>
    <row r="8" spans="1:3" x14ac:dyDescent="0.35">
      <c r="A8" s="12">
        <v>25518</v>
      </c>
      <c r="B8" s="48" t="s">
        <v>99</v>
      </c>
      <c r="C8" s="12">
        <v>25960</v>
      </c>
    </row>
    <row r="9" spans="1:3" x14ac:dyDescent="0.35">
      <c r="A9" s="12">
        <v>4838</v>
      </c>
      <c r="B9" s="48" t="s">
        <v>100</v>
      </c>
      <c r="C9" s="12">
        <v>5192</v>
      </c>
    </row>
    <row r="10" spans="1:3" x14ac:dyDescent="0.35">
      <c r="A10" s="12">
        <v>7257</v>
      </c>
      <c r="B10" s="48" t="s">
        <v>101</v>
      </c>
      <c r="C10" s="12">
        <v>7788</v>
      </c>
    </row>
    <row r="11" spans="1:3" x14ac:dyDescent="0.35">
      <c r="A11" s="12">
        <v>4600</v>
      </c>
      <c r="B11" s="48" t="s">
        <v>90</v>
      </c>
      <c r="C11" s="12">
        <v>0</v>
      </c>
    </row>
    <row r="12" spans="1:3" x14ac:dyDescent="0.35">
      <c r="A12" s="50">
        <f>SUM(A4:A11)</f>
        <v>82560</v>
      </c>
      <c r="B12" s="43" t="s">
        <v>24</v>
      </c>
      <c r="C12" s="50">
        <f>SUM(C4:C11)</f>
        <v>181194</v>
      </c>
    </row>
  </sheetData>
  <mergeCells count="2">
    <mergeCell ref="A2:C2"/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17"/>
  <sheetViews>
    <sheetView workbookViewId="0">
      <selection activeCell="D12" sqref="D12"/>
    </sheetView>
  </sheetViews>
  <sheetFormatPr defaultRowHeight="14.5" x14ac:dyDescent="0.35"/>
  <cols>
    <col min="1" max="1" width="47.453125" customWidth="1"/>
    <col min="2" max="2" width="15.453125" customWidth="1"/>
    <col min="3" max="3" width="10.7265625" bestFit="1" customWidth="1"/>
    <col min="4" max="4" width="9.1796875" customWidth="1"/>
    <col min="5" max="5" width="10.1796875" bestFit="1" customWidth="1"/>
    <col min="6" max="6" width="8.1796875" bestFit="1" customWidth="1"/>
    <col min="7" max="7" width="7.1796875" bestFit="1" customWidth="1"/>
    <col min="8" max="8" width="14.54296875" bestFit="1" customWidth="1"/>
    <col min="9" max="9" width="10.54296875" bestFit="1" customWidth="1"/>
  </cols>
  <sheetData>
    <row r="2" spans="1:9" ht="15.5" x14ac:dyDescent="0.35">
      <c r="A2" s="159" t="s">
        <v>125</v>
      </c>
      <c r="B2" s="159"/>
    </row>
    <row r="3" spans="1:9" x14ac:dyDescent="0.35">
      <c r="A3" s="153" t="s">
        <v>140</v>
      </c>
      <c r="B3" s="153"/>
      <c r="E3" s="43" t="s">
        <v>60</v>
      </c>
      <c r="F3" s="43" t="s">
        <v>87</v>
      </c>
      <c r="G3" s="43" t="s">
        <v>146</v>
      </c>
      <c r="H3" s="43" t="s">
        <v>147</v>
      </c>
      <c r="I3" s="43" t="s">
        <v>148</v>
      </c>
    </row>
    <row r="4" spans="1:9" x14ac:dyDescent="0.35">
      <c r="B4" s="40" t="s">
        <v>87</v>
      </c>
      <c r="E4" s="73" t="s">
        <v>154</v>
      </c>
      <c r="F4" s="73">
        <v>2071</v>
      </c>
      <c r="G4" s="73">
        <v>955166</v>
      </c>
      <c r="H4" s="73" t="s">
        <v>149</v>
      </c>
      <c r="I4" s="73" t="s">
        <v>152</v>
      </c>
    </row>
    <row r="5" spans="1:9" x14ac:dyDescent="0.35">
      <c r="A5" t="s">
        <v>61</v>
      </c>
      <c r="B5" s="36">
        <v>21076.85</v>
      </c>
      <c r="E5" s="73" t="s">
        <v>154</v>
      </c>
      <c r="F5" s="73">
        <v>10357</v>
      </c>
      <c r="G5" s="73">
        <v>955165</v>
      </c>
      <c r="H5" s="73" t="s">
        <v>151</v>
      </c>
      <c r="I5" s="73" t="s">
        <v>153</v>
      </c>
    </row>
    <row r="6" spans="1:9" x14ac:dyDescent="0.35">
      <c r="A6" t="s">
        <v>155</v>
      </c>
      <c r="B6" s="36">
        <f>F7</f>
        <v>23671</v>
      </c>
      <c r="E6" s="73" t="s">
        <v>154</v>
      </c>
      <c r="F6" s="73">
        <v>11243</v>
      </c>
      <c r="G6" s="73">
        <v>955164</v>
      </c>
      <c r="H6" s="73" t="s">
        <v>150</v>
      </c>
      <c r="I6" s="73" t="s">
        <v>153</v>
      </c>
    </row>
    <row r="7" spans="1:9" x14ac:dyDescent="0.35">
      <c r="A7" s="24"/>
      <c r="B7" s="24"/>
      <c r="F7" s="44">
        <f>SUM(F4:F6)</f>
        <v>23671</v>
      </c>
    </row>
    <row r="8" spans="1:9" ht="15" thickBot="1" x14ac:dyDescent="0.4">
      <c r="A8" s="72" t="s">
        <v>124</v>
      </c>
      <c r="B8" s="45">
        <v>44747.85</v>
      </c>
    </row>
    <row r="9" spans="1:9" ht="15" thickTop="1" x14ac:dyDescent="0.35">
      <c r="B9" s="34">
        <f>B5+B6-B8</f>
        <v>0</v>
      </c>
    </row>
    <row r="11" spans="1:9" ht="15.5" x14ac:dyDescent="0.35">
      <c r="A11" s="159" t="s">
        <v>125</v>
      </c>
      <c r="B11" s="159"/>
    </row>
    <row r="12" spans="1:9" x14ac:dyDescent="0.35">
      <c r="A12" s="153" t="s">
        <v>141</v>
      </c>
      <c r="B12" s="153"/>
    </row>
    <row r="13" spans="1:9" x14ac:dyDescent="0.35">
      <c r="B13" s="40" t="s">
        <v>87</v>
      </c>
    </row>
    <row r="14" spans="1:9" x14ac:dyDescent="0.35">
      <c r="A14" t="s">
        <v>61</v>
      </c>
      <c r="B14" s="36">
        <v>2363</v>
      </c>
    </row>
    <row r="15" spans="1:9" x14ac:dyDescent="0.35">
      <c r="A15" s="24"/>
      <c r="B15" s="24"/>
    </row>
    <row r="16" spans="1:9" ht="15" thickBot="1" x14ac:dyDescent="0.4">
      <c r="A16" s="72" t="s">
        <v>124</v>
      </c>
      <c r="B16" s="45">
        <v>2363</v>
      </c>
    </row>
    <row r="17" spans="2:2" ht="15" thickTop="1" x14ac:dyDescent="0.35">
      <c r="B17" s="34">
        <f>B14-B16</f>
        <v>0</v>
      </c>
    </row>
  </sheetData>
  <mergeCells count="4">
    <mergeCell ref="A2:B2"/>
    <mergeCell ref="A3:B3"/>
    <mergeCell ref="A11:B11"/>
    <mergeCell ref="A12:B1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F39"/>
  <sheetViews>
    <sheetView topLeftCell="A22" workbookViewId="0">
      <selection activeCell="B35" sqref="B35"/>
    </sheetView>
  </sheetViews>
  <sheetFormatPr defaultRowHeight="14.5" x14ac:dyDescent="0.35"/>
  <cols>
    <col min="1" max="1" width="13.7265625" bestFit="1" customWidth="1"/>
    <col min="2" max="3" width="10.453125" bestFit="1" customWidth="1"/>
    <col min="4" max="4" width="7.81640625" bestFit="1" customWidth="1"/>
    <col min="5" max="5" width="8.1796875" bestFit="1" customWidth="1"/>
  </cols>
  <sheetData>
    <row r="2" spans="1:6" x14ac:dyDescent="0.35">
      <c r="A2" s="24" t="s">
        <v>89</v>
      </c>
      <c r="B2" s="153" t="s">
        <v>85</v>
      </c>
      <c r="C2" s="153"/>
      <c r="D2" s="40" t="s">
        <v>123</v>
      </c>
      <c r="E2" s="40" t="s">
        <v>87</v>
      </c>
    </row>
    <row r="3" spans="1:6" x14ac:dyDescent="0.35">
      <c r="B3" s="46">
        <v>45265</v>
      </c>
      <c r="C3" s="46">
        <v>45356</v>
      </c>
      <c r="D3" s="44">
        <f>C3-B3</f>
        <v>91</v>
      </c>
      <c r="E3" s="44">
        <v>9008</v>
      </c>
    </row>
    <row r="4" spans="1:6" x14ac:dyDescent="0.35">
      <c r="B4" s="46">
        <v>45357</v>
      </c>
      <c r="C4" s="46">
        <v>45382</v>
      </c>
      <c r="D4" s="44">
        <f>C4-B4</f>
        <v>25</v>
      </c>
      <c r="E4" s="40">
        <f>ROUND(E3*D4/D3,0)</f>
        <v>2475</v>
      </c>
      <c r="F4" t="s">
        <v>84</v>
      </c>
    </row>
    <row r="7" spans="1:6" x14ac:dyDescent="0.35">
      <c r="A7" s="24" t="s">
        <v>91</v>
      </c>
      <c r="B7" s="153" t="s">
        <v>85</v>
      </c>
      <c r="C7" s="153"/>
      <c r="D7" s="40" t="s">
        <v>86</v>
      </c>
      <c r="E7" s="40" t="s">
        <v>87</v>
      </c>
    </row>
    <row r="8" spans="1:6" x14ac:dyDescent="0.35">
      <c r="B8" s="47">
        <v>45292</v>
      </c>
      <c r="C8" s="47">
        <v>45627</v>
      </c>
      <c r="D8" s="44">
        <v>12</v>
      </c>
      <c r="E8" s="44">
        <v>25960</v>
      </c>
    </row>
    <row r="9" spans="1:6" x14ac:dyDescent="0.35">
      <c r="B9" s="47">
        <v>45383</v>
      </c>
      <c r="C9" s="47">
        <v>45627</v>
      </c>
      <c r="D9" s="44">
        <v>9</v>
      </c>
      <c r="E9" s="40">
        <f>ROUND(E8*D9/D8,0)</f>
        <v>19470</v>
      </c>
      <c r="F9" t="s">
        <v>92</v>
      </c>
    </row>
    <row r="12" spans="1:6" x14ac:dyDescent="0.35">
      <c r="A12" s="24" t="s">
        <v>93</v>
      </c>
      <c r="B12" s="153" t="s">
        <v>85</v>
      </c>
      <c r="C12" s="153"/>
      <c r="D12" s="40" t="s">
        <v>86</v>
      </c>
      <c r="E12" s="40" t="s">
        <v>87</v>
      </c>
      <c r="F12" s="24"/>
    </row>
    <row r="13" spans="1:6" x14ac:dyDescent="0.35">
      <c r="B13" s="47">
        <v>45292</v>
      </c>
      <c r="C13" s="47">
        <v>45627</v>
      </c>
      <c r="D13" s="44">
        <v>12</v>
      </c>
      <c r="E13" s="44">
        <v>5192</v>
      </c>
    </row>
    <row r="14" spans="1:6" x14ac:dyDescent="0.35">
      <c r="B14" s="47">
        <v>45383</v>
      </c>
      <c r="C14" s="47">
        <v>45627</v>
      </c>
      <c r="D14" s="44">
        <v>9</v>
      </c>
      <c r="E14" s="40">
        <f>ROUND(E13*D14/D13,0)</f>
        <v>3894</v>
      </c>
      <c r="F14" t="s">
        <v>92</v>
      </c>
    </row>
    <row r="17" spans="1:6" x14ac:dyDescent="0.35">
      <c r="A17" s="24" t="s">
        <v>94</v>
      </c>
      <c r="B17" s="153" t="s">
        <v>85</v>
      </c>
      <c r="C17" s="153"/>
      <c r="D17" s="40" t="s">
        <v>86</v>
      </c>
      <c r="E17" s="40" t="s">
        <v>87</v>
      </c>
    </row>
    <row r="18" spans="1:6" x14ac:dyDescent="0.35">
      <c r="A18" s="24"/>
      <c r="B18" s="47">
        <v>45292</v>
      </c>
      <c r="C18" s="47">
        <v>45627</v>
      </c>
      <c r="D18" s="44">
        <v>12</v>
      </c>
      <c r="E18" s="44">
        <v>7788</v>
      </c>
    </row>
    <row r="19" spans="1:6" x14ac:dyDescent="0.35">
      <c r="A19" s="24"/>
      <c r="B19" s="47">
        <v>45383</v>
      </c>
      <c r="C19" s="47">
        <v>45627</v>
      </c>
      <c r="D19" s="44">
        <v>9</v>
      </c>
      <c r="E19" s="40">
        <f>ROUND(E18*D19/D18,0)</f>
        <v>5841</v>
      </c>
      <c r="F19" t="s">
        <v>92</v>
      </c>
    </row>
    <row r="20" spans="1:6" x14ac:dyDescent="0.35">
      <c r="A20" s="24"/>
    </row>
    <row r="21" spans="1:6" x14ac:dyDescent="0.35">
      <c r="A21" s="24"/>
    </row>
    <row r="22" spans="1:6" x14ac:dyDescent="0.35">
      <c r="A22" s="24" t="s">
        <v>102</v>
      </c>
      <c r="B22" s="153" t="s">
        <v>85</v>
      </c>
      <c r="C22" s="153"/>
      <c r="D22" s="40" t="s">
        <v>86</v>
      </c>
      <c r="E22" s="40" t="s">
        <v>87</v>
      </c>
    </row>
    <row r="23" spans="1:6" x14ac:dyDescent="0.35">
      <c r="B23" s="47">
        <v>45078</v>
      </c>
      <c r="C23" s="47">
        <v>45413</v>
      </c>
      <c r="D23" s="44">
        <v>12</v>
      </c>
      <c r="E23" s="44">
        <v>5800</v>
      </c>
    </row>
    <row r="24" spans="1:6" x14ac:dyDescent="0.35">
      <c r="B24" s="47">
        <v>45383</v>
      </c>
      <c r="C24" s="47">
        <v>45413</v>
      </c>
      <c r="D24" s="44">
        <v>2</v>
      </c>
      <c r="E24" s="40">
        <f>ROUND(E23*D24/D23,0)</f>
        <v>967</v>
      </c>
      <c r="F24" t="s">
        <v>92</v>
      </c>
    </row>
    <row r="27" spans="1:6" x14ac:dyDescent="0.35">
      <c r="A27" s="24" t="s">
        <v>114</v>
      </c>
      <c r="B27" s="153" t="s">
        <v>85</v>
      </c>
      <c r="C27" s="153"/>
      <c r="D27" s="40" t="s">
        <v>123</v>
      </c>
      <c r="E27" s="40" t="s">
        <v>87</v>
      </c>
    </row>
    <row r="28" spans="1:6" x14ac:dyDescent="0.35">
      <c r="B28" s="46">
        <v>45124</v>
      </c>
      <c r="C28" s="46">
        <v>45489</v>
      </c>
      <c r="D28" s="44">
        <f>C28-B28+1</f>
        <v>366</v>
      </c>
      <c r="E28" s="44">
        <f>1431+21921</f>
        <v>23352</v>
      </c>
    </row>
    <row r="29" spans="1:6" x14ac:dyDescent="0.35">
      <c r="B29" s="46">
        <v>45383</v>
      </c>
      <c r="C29" s="46">
        <v>45489</v>
      </c>
      <c r="D29" s="44">
        <f>C29-B29+1</f>
        <v>107</v>
      </c>
      <c r="E29" s="40">
        <f>ROUND(E28*D29/D28,0)</f>
        <v>6827</v>
      </c>
      <c r="F29" t="s">
        <v>92</v>
      </c>
    </row>
    <row r="32" spans="1:6" x14ac:dyDescent="0.35">
      <c r="A32" s="24" t="s">
        <v>299</v>
      </c>
      <c r="B32" s="34"/>
    </row>
    <row r="33" spans="2:2" x14ac:dyDescent="0.35">
      <c r="B33" s="34">
        <f>IE!G26+IE!G23+IE!H17</f>
        <v>10377</v>
      </c>
    </row>
    <row r="34" spans="2:2" x14ac:dyDescent="0.35">
      <c r="B34" s="34">
        <v>1000</v>
      </c>
    </row>
    <row r="35" spans="2:2" x14ac:dyDescent="0.35">
      <c r="B35" s="34">
        <f>(B33-10000)*30%</f>
        <v>113.1</v>
      </c>
    </row>
    <row r="36" spans="2:2" x14ac:dyDescent="0.35">
      <c r="B36" s="34">
        <f>B34+B35</f>
        <v>1113.0999999999999</v>
      </c>
    </row>
    <row r="37" spans="2:2" x14ac:dyDescent="0.35">
      <c r="B37" s="34">
        <f>B36*4%</f>
        <v>44.523999999999994</v>
      </c>
    </row>
    <row r="38" spans="2:2" x14ac:dyDescent="0.35">
      <c r="B38" s="34">
        <f>B36+B37</f>
        <v>1157.6239999999998</v>
      </c>
    </row>
    <row r="39" spans="2:2" x14ac:dyDescent="0.35">
      <c r="B39">
        <f>1160</f>
        <v>1160</v>
      </c>
    </row>
  </sheetData>
  <mergeCells count="6">
    <mergeCell ref="B27:C27"/>
    <mergeCell ref="B2:C2"/>
    <mergeCell ref="B7:C7"/>
    <mergeCell ref="B12:C12"/>
    <mergeCell ref="B17:C17"/>
    <mergeCell ref="B22:C2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3DF1-0240-4E37-BD84-D69D66B9C4D3}">
  <dimension ref="A1:H52"/>
  <sheetViews>
    <sheetView workbookViewId="0">
      <selection activeCell="C9" sqref="C9"/>
    </sheetView>
  </sheetViews>
  <sheetFormatPr defaultRowHeight="14.5" x14ac:dyDescent="0.35"/>
  <cols>
    <col min="1" max="1" width="20.26953125" customWidth="1"/>
    <col min="2" max="2" width="27" customWidth="1"/>
    <col min="3" max="3" width="54" customWidth="1"/>
    <col min="4" max="4" width="16.1796875" customWidth="1"/>
  </cols>
  <sheetData>
    <row r="1" spans="1:8" x14ac:dyDescent="0.35">
      <c r="A1" s="171" t="s">
        <v>163</v>
      </c>
      <c r="B1" s="172"/>
      <c r="C1" s="172"/>
      <c r="D1" s="172"/>
    </row>
    <row r="2" spans="1:8" x14ac:dyDescent="0.35">
      <c r="A2" s="77" t="s">
        <v>164</v>
      </c>
      <c r="B2" s="77" t="s">
        <v>165</v>
      </c>
      <c r="C2" s="77" t="s">
        <v>166</v>
      </c>
      <c r="D2" s="77" t="s">
        <v>167</v>
      </c>
      <c r="E2" s="78"/>
    </row>
    <row r="3" spans="1:8" x14ac:dyDescent="0.35">
      <c r="A3" t="s">
        <v>168</v>
      </c>
      <c r="B3" t="s">
        <v>169</v>
      </c>
      <c r="C3" t="s">
        <v>170</v>
      </c>
      <c r="D3" s="75">
        <v>63</v>
      </c>
      <c r="E3" s="78" t="s">
        <v>171</v>
      </c>
      <c r="G3">
        <v>35883</v>
      </c>
      <c r="H3" s="78" t="s">
        <v>171</v>
      </c>
    </row>
    <row r="4" spans="1:8" x14ac:dyDescent="0.35">
      <c r="A4" t="s">
        <v>172</v>
      </c>
      <c r="B4" t="s">
        <v>173</v>
      </c>
      <c r="C4" t="s">
        <v>174</v>
      </c>
      <c r="D4" s="75">
        <v>357</v>
      </c>
      <c r="E4" s="78" t="s">
        <v>171</v>
      </c>
      <c r="G4">
        <v>15571</v>
      </c>
      <c r="H4" s="78" t="s">
        <v>175</v>
      </c>
    </row>
    <row r="5" spans="1:8" x14ac:dyDescent="0.35">
      <c r="A5" t="s">
        <v>176</v>
      </c>
      <c r="B5" t="s">
        <v>173</v>
      </c>
      <c r="C5" t="s">
        <v>177</v>
      </c>
      <c r="D5" s="75">
        <v>357</v>
      </c>
      <c r="E5" s="78" t="s">
        <v>171</v>
      </c>
      <c r="G5">
        <v>15737</v>
      </c>
      <c r="H5" s="78" t="s">
        <v>178</v>
      </c>
    </row>
    <row r="6" spans="1:8" x14ac:dyDescent="0.35">
      <c r="A6" t="s">
        <v>179</v>
      </c>
      <c r="B6" t="s">
        <v>173</v>
      </c>
      <c r="C6" t="s">
        <v>180</v>
      </c>
      <c r="D6" s="75">
        <v>357</v>
      </c>
      <c r="E6" s="78" t="s">
        <v>171</v>
      </c>
      <c r="G6">
        <f>SUM(G3:G5)</f>
        <v>67191</v>
      </c>
    </row>
    <row r="7" spans="1:8" x14ac:dyDescent="0.35">
      <c r="A7" t="s">
        <v>181</v>
      </c>
      <c r="B7" t="s">
        <v>173</v>
      </c>
      <c r="C7" t="s">
        <v>182</v>
      </c>
      <c r="D7" s="75">
        <v>357</v>
      </c>
      <c r="E7" s="78" t="s">
        <v>171</v>
      </c>
    </row>
    <row r="8" spans="1:8" x14ac:dyDescent="0.35">
      <c r="A8" t="s">
        <v>183</v>
      </c>
      <c r="B8" t="s">
        <v>184</v>
      </c>
      <c r="C8" t="s">
        <v>185</v>
      </c>
      <c r="D8" s="75">
        <v>561</v>
      </c>
      <c r="E8" s="78" t="s">
        <v>175</v>
      </c>
    </row>
    <row r="9" spans="1:8" x14ac:dyDescent="0.35">
      <c r="A9" t="s">
        <v>186</v>
      </c>
      <c r="B9" t="s">
        <v>187</v>
      </c>
      <c r="C9" t="s">
        <v>185</v>
      </c>
      <c r="D9" s="75">
        <v>567</v>
      </c>
      <c r="E9" s="78" t="s">
        <v>175</v>
      </c>
    </row>
    <row r="10" spans="1:8" x14ac:dyDescent="0.35">
      <c r="A10" t="s">
        <v>188</v>
      </c>
      <c r="B10" t="s">
        <v>189</v>
      </c>
      <c r="C10" t="s">
        <v>190</v>
      </c>
      <c r="D10" s="79">
        <v>5870</v>
      </c>
      <c r="E10" s="78" t="s">
        <v>171</v>
      </c>
    </row>
    <row r="11" spans="1:8" x14ac:dyDescent="0.35">
      <c r="A11" t="s">
        <v>191</v>
      </c>
      <c r="B11" t="s">
        <v>192</v>
      </c>
      <c r="C11" t="s">
        <v>185</v>
      </c>
      <c r="D11" s="75">
        <v>129</v>
      </c>
      <c r="E11" s="78" t="s">
        <v>175</v>
      </c>
    </row>
    <row r="12" spans="1:8" x14ac:dyDescent="0.35">
      <c r="A12" t="s">
        <v>193</v>
      </c>
      <c r="B12" t="s">
        <v>194</v>
      </c>
      <c r="C12" t="s">
        <v>195</v>
      </c>
      <c r="D12" s="75">
        <v>12</v>
      </c>
      <c r="E12" s="78" t="s">
        <v>175</v>
      </c>
    </row>
    <row r="13" spans="1:8" x14ac:dyDescent="0.35">
      <c r="A13" t="s">
        <v>196</v>
      </c>
      <c r="B13" t="s">
        <v>194</v>
      </c>
      <c r="C13" t="s">
        <v>197</v>
      </c>
      <c r="D13" s="79">
        <v>23483</v>
      </c>
      <c r="E13" s="78" t="s">
        <v>171</v>
      </c>
    </row>
    <row r="14" spans="1:8" x14ac:dyDescent="0.35">
      <c r="A14" t="s">
        <v>198</v>
      </c>
      <c r="B14" t="s">
        <v>199</v>
      </c>
      <c r="C14" t="s">
        <v>200</v>
      </c>
      <c r="D14" s="79">
        <v>1353</v>
      </c>
      <c r="E14" s="78" t="s">
        <v>175</v>
      </c>
    </row>
    <row r="15" spans="1:8" x14ac:dyDescent="0.35">
      <c r="A15" t="s">
        <v>201</v>
      </c>
      <c r="B15" t="s">
        <v>202</v>
      </c>
      <c r="C15" t="s">
        <v>203</v>
      </c>
      <c r="D15" s="75">
        <v>901</v>
      </c>
      <c r="E15" s="78" t="s">
        <v>175</v>
      </c>
    </row>
    <row r="16" spans="1:8" x14ac:dyDescent="0.35">
      <c r="A16" t="s">
        <v>204</v>
      </c>
      <c r="B16" t="s">
        <v>205</v>
      </c>
      <c r="C16" t="s">
        <v>206</v>
      </c>
      <c r="D16" s="79">
        <v>1534</v>
      </c>
      <c r="E16" s="78" t="s">
        <v>175</v>
      </c>
    </row>
    <row r="17" spans="1:5" x14ac:dyDescent="0.35">
      <c r="A17" t="s">
        <v>207</v>
      </c>
      <c r="B17" t="s">
        <v>208</v>
      </c>
      <c r="C17" t="s">
        <v>209</v>
      </c>
      <c r="D17" s="79">
        <v>1433</v>
      </c>
      <c r="E17" s="78" t="s">
        <v>175</v>
      </c>
    </row>
    <row r="18" spans="1:5" x14ac:dyDescent="0.35">
      <c r="A18" t="s">
        <v>210</v>
      </c>
      <c r="B18" t="s">
        <v>211</v>
      </c>
      <c r="C18" t="s">
        <v>212</v>
      </c>
      <c r="D18" s="79">
        <v>1523</v>
      </c>
      <c r="E18" s="78" t="s">
        <v>175</v>
      </c>
    </row>
    <row r="19" spans="1:5" x14ac:dyDescent="0.35">
      <c r="A19" t="s">
        <v>213</v>
      </c>
      <c r="B19" t="s">
        <v>211</v>
      </c>
      <c r="C19" t="s">
        <v>214</v>
      </c>
      <c r="D19" s="75">
        <v>999</v>
      </c>
      <c r="E19" s="78" t="s">
        <v>175</v>
      </c>
    </row>
    <row r="20" spans="1:5" x14ac:dyDescent="0.35">
      <c r="A20" t="s">
        <v>215</v>
      </c>
      <c r="B20" t="s">
        <v>211</v>
      </c>
      <c r="C20" t="s">
        <v>216</v>
      </c>
      <c r="D20" s="79">
        <v>2335</v>
      </c>
      <c r="E20" s="78" t="s">
        <v>175</v>
      </c>
    </row>
    <row r="21" spans="1:5" x14ac:dyDescent="0.35">
      <c r="A21" t="s">
        <v>217</v>
      </c>
      <c r="B21" t="s">
        <v>218</v>
      </c>
      <c r="C21" t="s">
        <v>219</v>
      </c>
      <c r="D21" s="75">
        <v>415</v>
      </c>
      <c r="E21" s="78" t="s">
        <v>178</v>
      </c>
    </row>
    <row r="22" spans="1:5" x14ac:dyDescent="0.35">
      <c r="A22" t="s">
        <v>220</v>
      </c>
      <c r="B22" t="s">
        <v>221</v>
      </c>
      <c r="C22" t="s">
        <v>222</v>
      </c>
      <c r="D22" s="79">
        <v>1887</v>
      </c>
      <c r="E22" s="78" t="s">
        <v>175</v>
      </c>
    </row>
    <row r="23" spans="1:5" x14ac:dyDescent="0.35">
      <c r="A23" t="s">
        <v>223</v>
      </c>
      <c r="B23" t="s">
        <v>221</v>
      </c>
      <c r="C23" t="s">
        <v>224</v>
      </c>
      <c r="D23" s="79">
        <v>1087</v>
      </c>
      <c r="E23" s="78" t="s">
        <v>175</v>
      </c>
    </row>
    <row r="24" spans="1:5" x14ac:dyDescent="0.35">
      <c r="A24" t="s">
        <v>225</v>
      </c>
      <c r="B24" t="s">
        <v>221</v>
      </c>
      <c r="C24" t="s">
        <v>226</v>
      </c>
      <c r="D24" s="79">
        <v>1250</v>
      </c>
      <c r="E24" s="78" t="s">
        <v>175</v>
      </c>
    </row>
    <row r="25" spans="1:5" x14ac:dyDescent="0.35">
      <c r="A25" t="s">
        <v>227</v>
      </c>
      <c r="B25" t="s">
        <v>228</v>
      </c>
      <c r="C25" t="s">
        <v>229</v>
      </c>
      <c r="D25" s="79">
        <v>2480</v>
      </c>
      <c r="E25" s="78" t="s">
        <v>178</v>
      </c>
    </row>
    <row r="26" spans="1:5" x14ac:dyDescent="0.35">
      <c r="A26" t="s">
        <v>230</v>
      </c>
      <c r="B26" t="s">
        <v>231</v>
      </c>
      <c r="C26" t="s">
        <v>232</v>
      </c>
      <c r="D26" s="79">
        <v>1174</v>
      </c>
      <c r="E26" s="78" t="s">
        <v>178</v>
      </c>
    </row>
    <row r="27" spans="1:5" x14ac:dyDescent="0.35">
      <c r="A27" t="s">
        <v>233</v>
      </c>
      <c r="B27" t="s">
        <v>231</v>
      </c>
      <c r="C27" t="s">
        <v>234</v>
      </c>
      <c r="D27" s="75">
        <v>795</v>
      </c>
      <c r="E27" s="78" t="s">
        <v>178</v>
      </c>
    </row>
    <row r="28" spans="1:5" x14ac:dyDescent="0.35">
      <c r="A28" t="s">
        <v>235</v>
      </c>
      <c r="B28" t="s">
        <v>231</v>
      </c>
      <c r="C28" t="s">
        <v>236</v>
      </c>
      <c r="D28" s="75">
        <v>644</v>
      </c>
      <c r="E28" s="78" t="s">
        <v>178</v>
      </c>
    </row>
    <row r="29" spans="1:5" x14ac:dyDescent="0.35">
      <c r="A29" t="s">
        <v>237</v>
      </c>
      <c r="B29" t="s">
        <v>231</v>
      </c>
      <c r="C29" t="s">
        <v>238</v>
      </c>
      <c r="D29" s="75">
        <v>968</v>
      </c>
      <c r="E29" s="78" t="s">
        <v>178</v>
      </c>
    </row>
    <row r="30" spans="1:5" x14ac:dyDescent="0.35">
      <c r="A30" t="s">
        <v>239</v>
      </c>
      <c r="B30" t="s">
        <v>231</v>
      </c>
      <c r="C30" t="s">
        <v>240</v>
      </c>
      <c r="D30" s="79">
        <v>1281</v>
      </c>
      <c r="E30" s="78" t="s">
        <v>178</v>
      </c>
    </row>
    <row r="31" spans="1:5" x14ac:dyDescent="0.35">
      <c r="A31" t="s">
        <v>241</v>
      </c>
      <c r="B31" t="s">
        <v>231</v>
      </c>
      <c r="C31" t="s">
        <v>242</v>
      </c>
      <c r="D31" s="75">
        <v>717</v>
      </c>
      <c r="E31" s="78" t="s">
        <v>178</v>
      </c>
    </row>
    <row r="32" spans="1:5" x14ac:dyDescent="0.35">
      <c r="A32" t="s">
        <v>243</v>
      </c>
      <c r="B32" t="s">
        <v>231</v>
      </c>
      <c r="C32" t="s">
        <v>244</v>
      </c>
      <c r="D32" s="75">
        <v>560</v>
      </c>
      <c r="E32" s="78" t="s">
        <v>178</v>
      </c>
    </row>
    <row r="33" spans="1:5" x14ac:dyDescent="0.35">
      <c r="A33" t="s">
        <v>245</v>
      </c>
      <c r="B33" t="s">
        <v>231</v>
      </c>
      <c r="C33" t="s">
        <v>246</v>
      </c>
      <c r="D33" s="75">
        <v>604</v>
      </c>
      <c r="E33" s="78" t="s">
        <v>178</v>
      </c>
    </row>
    <row r="34" spans="1:5" x14ac:dyDescent="0.35">
      <c r="A34" t="s">
        <v>247</v>
      </c>
      <c r="B34" t="s">
        <v>231</v>
      </c>
      <c r="C34" t="s">
        <v>248</v>
      </c>
      <c r="D34" s="75">
        <v>834</v>
      </c>
      <c r="E34" s="78" t="s">
        <v>178</v>
      </c>
    </row>
    <row r="35" spans="1:5" x14ac:dyDescent="0.35">
      <c r="A35" t="s">
        <v>249</v>
      </c>
      <c r="B35" t="s">
        <v>231</v>
      </c>
      <c r="C35" t="s">
        <v>250</v>
      </c>
      <c r="D35" s="75">
        <v>511</v>
      </c>
      <c r="E35" s="78" t="s">
        <v>178</v>
      </c>
    </row>
    <row r="36" spans="1:5" x14ac:dyDescent="0.35">
      <c r="A36" t="s">
        <v>251</v>
      </c>
      <c r="B36" t="s">
        <v>231</v>
      </c>
      <c r="C36" t="s">
        <v>252</v>
      </c>
      <c r="D36" s="75">
        <v>414</v>
      </c>
      <c r="E36" s="78" t="s">
        <v>178</v>
      </c>
    </row>
    <row r="37" spans="1:5" x14ac:dyDescent="0.35">
      <c r="A37" t="s">
        <v>253</v>
      </c>
      <c r="B37" t="s">
        <v>231</v>
      </c>
      <c r="C37" t="s">
        <v>254</v>
      </c>
      <c r="D37" s="75">
        <v>444</v>
      </c>
      <c r="E37" s="78" t="s">
        <v>178</v>
      </c>
    </row>
    <row r="38" spans="1:5" x14ac:dyDescent="0.35">
      <c r="A38" t="s">
        <v>255</v>
      </c>
      <c r="B38" t="s">
        <v>231</v>
      </c>
      <c r="C38" t="s">
        <v>256</v>
      </c>
      <c r="D38" s="75">
        <v>429</v>
      </c>
      <c r="E38" s="78" t="s">
        <v>178</v>
      </c>
    </row>
    <row r="39" spans="1:5" x14ac:dyDescent="0.35">
      <c r="A39" t="s">
        <v>257</v>
      </c>
      <c r="B39" t="s">
        <v>231</v>
      </c>
      <c r="C39" t="s">
        <v>258</v>
      </c>
      <c r="D39" s="79">
        <v>1084</v>
      </c>
      <c r="E39" s="78" t="s">
        <v>178</v>
      </c>
    </row>
    <row r="40" spans="1:5" x14ac:dyDescent="0.35">
      <c r="A40" t="s">
        <v>259</v>
      </c>
      <c r="B40" t="s">
        <v>231</v>
      </c>
      <c r="C40" t="s">
        <v>260</v>
      </c>
      <c r="D40" s="75">
        <v>390</v>
      </c>
      <c r="E40" s="78" t="s">
        <v>178</v>
      </c>
    </row>
    <row r="41" spans="1:5" x14ac:dyDescent="0.35">
      <c r="A41" t="s">
        <v>261</v>
      </c>
      <c r="B41" t="s">
        <v>231</v>
      </c>
      <c r="C41" t="s">
        <v>262</v>
      </c>
      <c r="D41" s="75">
        <v>655</v>
      </c>
      <c r="E41" s="78" t="s">
        <v>178</v>
      </c>
    </row>
    <row r="42" spans="1:5" x14ac:dyDescent="0.35">
      <c r="A42" t="s">
        <v>263</v>
      </c>
      <c r="B42" t="s">
        <v>231</v>
      </c>
      <c r="C42" t="s">
        <v>264</v>
      </c>
      <c r="D42" s="75">
        <v>668</v>
      </c>
      <c r="E42" s="78" t="s">
        <v>178</v>
      </c>
    </row>
    <row r="43" spans="1:5" x14ac:dyDescent="0.35">
      <c r="A43" t="s">
        <v>265</v>
      </c>
      <c r="B43" t="s">
        <v>266</v>
      </c>
      <c r="C43" t="s">
        <v>267</v>
      </c>
      <c r="D43" s="75">
        <v>982</v>
      </c>
      <c r="E43" s="78" t="s">
        <v>171</v>
      </c>
    </row>
    <row r="44" spans="1:5" x14ac:dyDescent="0.35">
      <c r="A44" t="s">
        <v>268</v>
      </c>
      <c r="B44" t="s">
        <v>266</v>
      </c>
      <c r="C44" t="s">
        <v>269</v>
      </c>
      <c r="D44" s="75">
        <v>982</v>
      </c>
      <c r="E44" s="78" t="s">
        <v>171</v>
      </c>
    </row>
    <row r="45" spans="1:5" x14ac:dyDescent="0.35">
      <c r="A45" t="s">
        <v>270</v>
      </c>
      <c r="B45" t="s">
        <v>266</v>
      </c>
      <c r="C45" t="s">
        <v>271</v>
      </c>
      <c r="D45" s="75">
        <v>982</v>
      </c>
      <c r="E45" s="78" t="s">
        <v>171</v>
      </c>
    </row>
    <row r="46" spans="1:5" x14ac:dyDescent="0.35">
      <c r="A46" t="s">
        <v>272</v>
      </c>
      <c r="B46" t="s">
        <v>266</v>
      </c>
      <c r="C46" t="s">
        <v>273</v>
      </c>
      <c r="D46" s="75">
        <v>545</v>
      </c>
      <c r="E46" s="78" t="s">
        <v>178</v>
      </c>
    </row>
    <row r="47" spans="1:5" x14ac:dyDescent="0.35">
      <c r="A47" t="s">
        <v>274</v>
      </c>
      <c r="B47" t="s">
        <v>266</v>
      </c>
      <c r="C47" t="s">
        <v>275</v>
      </c>
      <c r="D47" s="75">
        <v>129</v>
      </c>
      <c r="E47" s="78" t="s">
        <v>171</v>
      </c>
    </row>
    <row r="48" spans="1:5" x14ac:dyDescent="0.35">
      <c r="A48" t="s">
        <v>276</v>
      </c>
      <c r="B48" t="s">
        <v>266</v>
      </c>
      <c r="C48" t="s">
        <v>277</v>
      </c>
      <c r="D48" s="75">
        <v>18</v>
      </c>
      <c r="E48" s="78" t="s">
        <v>178</v>
      </c>
    </row>
    <row r="49" spans="1:5" x14ac:dyDescent="0.35">
      <c r="A49" t="s">
        <v>278</v>
      </c>
      <c r="B49" t="s">
        <v>266</v>
      </c>
      <c r="C49" t="s">
        <v>279</v>
      </c>
      <c r="D49" s="75">
        <v>107</v>
      </c>
      <c r="E49" s="78" t="s">
        <v>178</v>
      </c>
    </row>
    <row r="50" spans="1:5" x14ac:dyDescent="0.35">
      <c r="A50" t="s">
        <v>280</v>
      </c>
      <c r="B50" t="s">
        <v>266</v>
      </c>
      <c r="C50" t="s">
        <v>281</v>
      </c>
      <c r="D50" s="75">
        <v>982</v>
      </c>
      <c r="E50" s="78" t="s">
        <v>171</v>
      </c>
    </row>
    <row r="51" spans="1:5" x14ac:dyDescent="0.35">
      <c r="A51" t="s">
        <v>282</v>
      </c>
      <c r="B51" t="s">
        <v>266</v>
      </c>
      <c r="C51" t="s">
        <v>283</v>
      </c>
      <c r="D51" s="75">
        <v>982</v>
      </c>
      <c r="E51" s="78" t="s">
        <v>171</v>
      </c>
    </row>
    <row r="52" spans="1:5" x14ac:dyDescent="0.35">
      <c r="A52" s="77"/>
      <c r="B52" s="77"/>
      <c r="D52" s="77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BS</vt:lpstr>
      <vt:lpstr>IE</vt:lpstr>
      <vt:lpstr>Sch I - FD</vt:lpstr>
      <vt:lpstr>Sch II - FA</vt:lpstr>
      <vt:lpstr>Sch III - R&amp;S</vt:lpstr>
      <vt:lpstr>Sch IV - Mem. Adv</vt:lpstr>
      <vt:lpstr>Sch V -R&amp;M</vt:lpstr>
      <vt:lpstr>BRS</vt:lpstr>
      <vt:lpstr>Workings</vt:lpstr>
      <vt:lpstr>Sheet1</vt:lpstr>
      <vt:lpstr>BS!Print_Area</vt:lpstr>
      <vt:lpstr>IE!Print_Area</vt:lpstr>
      <vt:lpstr>'Sch I - FD'!Print_Area</vt:lpstr>
      <vt:lpstr>'Sch II - FA'!Print_Area</vt:lpstr>
      <vt:lpstr>'Sch III - R&amp;S'!Print_Area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Shankar Gawde - KRC</cp:lastModifiedBy>
  <cp:lastPrinted>2024-07-12T09:14:21Z</cp:lastPrinted>
  <dcterms:created xsi:type="dcterms:W3CDTF">2023-04-15T05:06:05Z</dcterms:created>
  <dcterms:modified xsi:type="dcterms:W3CDTF">2024-07-12T09:14:22Z</dcterms:modified>
</cp:coreProperties>
</file>