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elena Villa\"/>
    </mc:Choice>
  </mc:AlternateContent>
  <xr:revisionPtr revIDLastSave="0" documentId="11_60CCBC6D76F718F7F899F5F6A04F1F94D948E217" xr6:coauthVersionLast="47" xr6:coauthVersionMax="47" xr10:uidLastSave="{00000000-0000-0000-0000-000000000000}"/>
  <bookViews>
    <workbookView xWindow="-28920" yWindow="-120" windowWidth="29040" windowHeight="15720" activeTab="1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9" r:id="rId7"/>
    <sheet name="Sheet8" sheetId="8" r:id="rId8"/>
    <sheet name="Sheet9" sheetId="10" r:id="rId9"/>
    <sheet name="Sheet10" sheetId="11" r:id="rId10"/>
    <sheet name="Sheet11" sheetId="12" r:id="rId11"/>
  </sheets>
  <definedNames>
    <definedName name="_xlnm.Print_Area" localSheetId="9">Sheet10!$A$1:$J$23</definedName>
    <definedName name="_xlnm.Print_Area" localSheetId="4">Sheet5!$A$1:$J$48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2" l="1"/>
  <c r="E23" i="11"/>
  <c r="E6" i="11"/>
  <c r="E10" i="8"/>
  <c r="E22" i="10"/>
  <c r="E25" i="8"/>
  <c r="E6" i="10"/>
  <c r="G66" i="9"/>
  <c r="G37" i="9"/>
  <c r="C37" i="9"/>
  <c r="G28" i="9"/>
  <c r="C28" i="9"/>
  <c r="G24" i="9"/>
  <c r="G19" i="9"/>
  <c r="G16" i="9"/>
  <c r="G29" i="9" s="1"/>
  <c r="E8" i="8" l="1"/>
  <c r="E17" i="6"/>
  <c r="E14" i="6"/>
  <c r="E9" i="6"/>
  <c r="E8" i="6"/>
  <c r="E13" i="6"/>
  <c r="E10" i="6"/>
  <c r="E37" i="6"/>
  <c r="E36" i="6"/>
  <c r="E49" i="6"/>
  <c r="E48" i="6"/>
  <c r="E47" i="6"/>
  <c r="E46" i="6"/>
  <c r="E45" i="6"/>
  <c r="E44" i="6"/>
  <c r="E43" i="6"/>
  <c r="G42" i="6"/>
  <c r="E42" i="6"/>
  <c r="E41" i="6"/>
  <c r="E39" i="6"/>
  <c r="E12" i="6"/>
  <c r="E44" i="5"/>
  <c r="E47" i="5"/>
  <c r="G40" i="5"/>
  <c r="E40" i="5"/>
  <c r="E45" i="5"/>
  <c r="E46" i="5"/>
  <c r="E43" i="5"/>
  <c r="E42" i="5"/>
  <c r="E41" i="5"/>
  <c r="E39" i="5"/>
  <c r="E37" i="5"/>
  <c r="E12" i="5"/>
  <c r="E17" i="5"/>
  <c r="E11" i="5"/>
  <c r="E15" i="5"/>
  <c r="E41" i="4"/>
  <c r="E14" i="4"/>
  <c r="E45" i="4"/>
  <c r="E44" i="4"/>
  <c r="E42" i="4"/>
  <c r="E43" i="4"/>
  <c r="E40" i="4"/>
  <c r="E30" i="4"/>
  <c r="E43" i="3"/>
  <c r="E42" i="3"/>
  <c r="E44" i="3"/>
  <c r="E41" i="3"/>
  <c r="E40" i="3"/>
  <c r="E29" i="3"/>
  <c r="E44" i="2"/>
  <c r="E42" i="2"/>
  <c r="E43" i="2"/>
  <c r="E45" i="2"/>
  <c r="E41" i="2"/>
  <c r="E28" i="2"/>
  <c r="E39" i="1"/>
  <c r="E38" i="1"/>
  <c r="E37" i="1"/>
  <c r="E35" i="1"/>
  <c r="E26" i="1"/>
</calcChain>
</file>

<file path=xl/sharedStrings.xml><?xml version="1.0" encoding="utf-8"?>
<sst xmlns="http://schemas.openxmlformats.org/spreadsheetml/2006/main" count="2029" uniqueCount="410">
  <si>
    <r>
      <t xml:space="preserve">                                       </t>
    </r>
    <r>
      <rPr>
        <b/>
        <u/>
        <sz val="14"/>
        <rFont val="Times New Roman"/>
        <family val="1"/>
      </rPr>
      <t>HELENA VILLA CO. OP. HSG. SOCTY. LTD</t>
    </r>
    <r>
      <rPr>
        <b/>
        <sz val="14"/>
        <rFont val="Times New Roman"/>
        <family val="1"/>
      </rPr>
      <t xml:space="preserve">. </t>
    </r>
  </si>
  <si>
    <r>
      <t xml:space="preserve">                                           </t>
    </r>
    <r>
      <rPr>
        <b/>
        <u/>
        <sz val="11"/>
        <rFont val="Palatino Linotype"/>
        <family val="1"/>
      </rPr>
      <t>SINKING FUND</t>
    </r>
    <r>
      <rPr>
        <b/>
        <sz val="11"/>
        <rFont val="Palatino Linotype"/>
        <family val="1"/>
      </rPr>
      <t xml:space="preserve"> : </t>
    </r>
    <r>
      <rPr>
        <b/>
        <u/>
        <sz val="11"/>
        <rFont val="Palatino Linotype"/>
        <family val="1"/>
      </rPr>
      <t>THE MDCC BANK LTD</t>
    </r>
    <r>
      <rPr>
        <b/>
        <sz val="11"/>
        <rFont val="Palatino Linotype"/>
        <family val="1"/>
      </rPr>
      <t xml:space="preserve">. &amp; </t>
    </r>
    <r>
      <rPr>
        <b/>
        <u/>
        <sz val="11"/>
        <rFont val="Palatino Linotype"/>
        <family val="1"/>
      </rPr>
      <t>CCC BANK LTD</t>
    </r>
    <r>
      <rPr>
        <b/>
        <sz val="11"/>
        <rFont val="Palatino Linotype"/>
        <family val="1"/>
      </rPr>
      <t xml:space="preserve">.  </t>
    </r>
  </si>
  <si>
    <t>Srl. No.</t>
  </si>
  <si>
    <t>Bank</t>
  </si>
  <si>
    <t>FDR No.</t>
  </si>
  <si>
    <t xml:space="preserve">Date Of  Invst / Last Rnwl </t>
  </si>
  <si>
    <t>Date Of Maturity</t>
  </si>
  <si>
    <t xml:space="preserve">Amt Of Invst / Last Rnwl </t>
  </si>
  <si>
    <t>Maturity Amount</t>
  </si>
  <si>
    <t>Period</t>
  </si>
  <si>
    <t>Remarks</t>
  </si>
  <si>
    <t>1.</t>
  </si>
  <si>
    <t>MDCC</t>
  </si>
  <si>
    <t>1st Sink Fund FD (Renewed) / Started on 25-07-2004                          (Start Amt : Rs. 3,318.00)</t>
  </si>
  <si>
    <t>2.</t>
  </si>
  <si>
    <t>"</t>
  </si>
  <si>
    <t>2nd Sink Fund FD (Renewd)/ Started on 10-10-2004                               (Start Amt : Rs. 6,636.00)</t>
  </si>
  <si>
    <t>3.</t>
  </si>
  <si>
    <t>3rd Sink Fund FD(Renewed) / Started on 18-10-2005                                                                       (Start Amt : Rs. 6,636.00)</t>
  </si>
  <si>
    <t>4.</t>
  </si>
  <si>
    <t>4th Sink Fund FD(Renewed) /  Started on 21-02-2007                                             (Start Amt : 6,636.00)</t>
  </si>
  <si>
    <t>5.</t>
  </si>
  <si>
    <t>6th Sink Fund FD (Renewed)  /  Started on 31-12-2008                                                 (Start Amt : 6,636.00)</t>
  </si>
  <si>
    <t>6.</t>
  </si>
  <si>
    <t>8th Sink Fund FD (Renewed)  /  Started on 06-09-2010                                                 (Start Amt : 6,636.00)</t>
  </si>
  <si>
    <t>7.</t>
  </si>
  <si>
    <t>CCC</t>
  </si>
  <si>
    <t>365 Days</t>
  </si>
  <si>
    <t xml:space="preserve">Merged 5th &amp; 7th Sinking Fnd FD (5th Sinking Fnd FD                 started on 31-03-2008 &amp; 7th Sinking Fnd FD                                    started on 08-02-2010 merged on 21-03-2011) </t>
  </si>
  <si>
    <t>8.</t>
  </si>
  <si>
    <t>9th Sink Fund FD (Renewed)  /  Started on 19-01-2012                                                 (Start Amt : 6,636.00)</t>
  </si>
  <si>
    <t>9.</t>
  </si>
  <si>
    <t>60 Months</t>
  </si>
  <si>
    <t>10th Sink Fund FD (Initial)  /  Started on 21-03-2013                                                 (Start Amt : 6,636.00)</t>
  </si>
  <si>
    <t>10.</t>
  </si>
  <si>
    <t>11th Sink Fund FD (Renewed)  /  Started on 25-03-2014                                                 (Start Amt : 6,636.00)</t>
  </si>
  <si>
    <t>11.</t>
  </si>
  <si>
    <t>12th Sink Fund FD (Initial)  /  Started on 05-03-2015                                                 (Start Amt : 6,636.00)</t>
  </si>
  <si>
    <t>12.</t>
  </si>
  <si>
    <t>12 Months</t>
  </si>
  <si>
    <t>13th Sink Fund FD (Initial)  /  Started on 22-03-2016                                                 (Start Amt : 6,636.00)</t>
  </si>
  <si>
    <r>
      <t xml:space="preserve">                                                    (</t>
    </r>
    <r>
      <rPr>
        <b/>
        <u/>
        <sz val="11"/>
        <rFont val="Palatino Linotype"/>
        <family val="1"/>
      </rPr>
      <t>OTHERS</t>
    </r>
    <r>
      <rPr>
        <b/>
        <sz val="11"/>
        <rFont val="Palatino Linotype"/>
        <family val="1"/>
      </rPr>
      <t xml:space="preserve">) : </t>
    </r>
    <r>
      <rPr>
        <b/>
        <u/>
        <sz val="11"/>
        <rFont val="Palatino Linotype"/>
        <family val="1"/>
      </rPr>
      <t xml:space="preserve">CITIZEN CREDIT CO-OP. BANK LTD. </t>
    </r>
  </si>
  <si>
    <t>500 Days</t>
  </si>
  <si>
    <t>1st P'nt Fnd FD (Rnwd as FD-500 /Initially strtd on 08-01-2013 after cls of all previous Painting Fund FDs  in 2011)</t>
  </si>
  <si>
    <t>A/c No. 8176                               Rt. No. 647506</t>
  </si>
  <si>
    <t>9</t>
  </si>
  <si>
    <t>A/c No. 8176                               Rt. No. 647507</t>
  </si>
  <si>
    <t>A/c No. 8176                               Rt. No. 647539</t>
  </si>
  <si>
    <t>A/c No. 8176                               Rt. No. 647540</t>
  </si>
  <si>
    <t>A/c No. 8176                               Rt. No. 647541</t>
  </si>
  <si>
    <t>A/c No. 8176                               Rt. No. 647542</t>
  </si>
  <si>
    <t>A/c No. 8176                               Rt. No. 647600</t>
  </si>
  <si>
    <t>A/c No. 30524                               Rt No. 0709275</t>
  </si>
  <si>
    <t>2nd P'nt Fnd FD started on 26-03-2014                                                                        (Start Amt : 28,224.00)</t>
  </si>
  <si>
    <t>10</t>
  </si>
  <si>
    <t>A/c No. 310145                               Rt No. 0724558</t>
  </si>
  <si>
    <t>3rd P'nt Fnd FD started on 17-03-2015                                                                        (Start Amt : 28,224.00)</t>
  </si>
  <si>
    <t>11</t>
  </si>
  <si>
    <t>Ac No. 3051365                               Rt No. 0760916</t>
  </si>
  <si>
    <t>4th P'nt Fnd FD started on 21-03-2016                                                                        (Start Amt : 28,224.00)</t>
  </si>
  <si>
    <t>Page  - 1 -</t>
  </si>
  <si>
    <t>Rate Of Int</t>
  </si>
  <si>
    <t>7</t>
  </si>
  <si>
    <t>A/c No. 009642                               Rt. No. 987772</t>
  </si>
  <si>
    <t>7.13</t>
  </si>
  <si>
    <t>13.</t>
  </si>
  <si>
    <t>14th Sink Fund FD (Initial)  /  Started on 07-03-2017                                                 (Start Amt : 6,636.00)</t>
  </si>
  <si>
    <t>Page  - 2 -</t>
  </si>
  <si>
    <t>7.75</t>
  </si>
  <si>
    <t>12</t>
  </si>
  <si>
    <t>Ac No. 3051949                               Rt No. 0799363</t>
  </si>
  <si>
    <t>7.25</t>
  </si>
  <si>
    <t>5th P'nt Fnd FD started on 28-02-2017                                                                        (Start Amt : 28,224.00)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</si>
  <si>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31-03-2018 </t>
    </r>
  </si>
  <si>
    <t>A/c No. 010706                              Rt. No.1019754</t>
  </si>
  <si>
    <t>6.94</t>
  </si>
  <si>
    <t>A/c No. 010708                               Rt. No.1019756</t>
  </si>
  <si>
    <t>A/c No. 010578                           Rt. No. 1019413</t>
  </si>
  <si>
    <t>A/c No.  010319                              Rt. No. 1004685</t>
  </si>
  <si>
    <t>A/c No. 010591                            Rt. No. 1019443</t>
  </si>
  <si>
    <t>A/c No. 010707                               Rt. No. 1019755</t>
  </si>
  <si>
    <t>Ac Old : 121 / New: 303542476  /                           Rt. No. 542476</t>
  </si>
  <si>
    <t>A/c No. 010055                               Rt. No.1004023</t>
  </si>
  <si>
    <t>A/c No. 012532                               Rt. No. 1132390</t>
  </si>
  <si>
    <t>6.63</t>
  </si>
  <si>
    <t>A/c No. 011380                               Rt. No. 1071963</t>
  </si>
  <si>
    <t>A/c No. 010421                               Rt. No. 1004995</t>
  </si>
  <si>
    <t>14.</t>
  </si>
  <si>
    <t>A/c No. 012298                               Rt. No. 1078778</t>
  </si>
  <si>
    <t>36 Months</t>
  </si>
  <si>
    <t>5.98</t>
  </si>
  <si>
    <t>15th Sink Fund FD (Initial)  /  Started on 14-02-2018                                                 (Start Amt : 6,636.00)</t>
  </si>
  <si>
    <t xml:space="preserve"> Ac No. Old: 1116 / New: 305681981 /                             Rt. No.0681981</t>
  </si>
  <si>
    <t xml:space="preserve">Misc. FDs under QIRP scheme </t>
  </si>
  <si>
    <t>A/c No. 310603                               Rt.  0825494</t>
  </si>
  <si>
    <t>24 Months</t>
  </si>
  <si>
    <t>6.9</t>
  </si>
  <si>
    <t>13</t>
  </si>
  <si>
    <t>14</t>
  </si>
  <si>
    <t>Ac No. 3052448                               Rt No. 0825414</t>
  </si>
  <si>
    <t>6th P'nt Fnd FD started on 14-02-2018                                                                        (Start Amt : 28,224.00)</t>
  </si>
  <si>
    <t>A/c No. 009445                               Rt. No. 987214</t>
  </si>
  <si>
    <t>15.</t>
  </si>
  <si>
    <t>A/c No. 013169                               Rt. No. 1185547</t>
  </si>
  <si>
    <t>7.77</t>
  </si>
  <si>
    <t>Ac No. 3052894                               Rt No. 0845075</t>
  </si>
  <si>
    <t>-</t>
  </si>
  <si>
    <t>Renewed 1st new P'nt Fnd FD / Initially strtd on 08-01-2013 after closure of all previous Painting Fund FDs for bldg painting / repair in 2011)</t>
  </si>
  <si>
    <t xml:space="preserve">Misc </t>
  </si>
  <si>
    <t>FD Closed prematurely on 27-08-2018</t>
  </si>
  <si>
    <t>5th &amp; 7th Sinking Fnd FD merged on 21-03-2011 (5th S'nkng FD: Rs 6,636 started on 31-03-2008 &amp; 7th S'nkng Fnd FD: Rs 6,636 started on 08-02-2010)</t>
  </si>
  <si>
    <t>FD / Renewed on 4-May-2018 &amp; Closed prematurely on 27-08-2018</t>
  </si>
  <si>
    <t>1st Sinking Fund FD / Started on 25-07-2004 &amp; Renewed at each maturity (Start Amt : Rs. 3,318.00)</t>
  </si>
  <si>
    <t>2nd Sinking Fund FD / Started on 10-10-2004 &amp; Renewed at each maturity (Start Amt : Rs. 6,636.00)</t>
  </si>
  <si>
    <t>3rd Sinking Fund FD / Started on 18-10-2005 &amp; Renewed at each maturity (Start Amt : Rs. 6,636.00)</t>
  </si>
  <si>
    <t>4th Sinking Fund FD / Started on 21-02-2007 &amp; Renewed at each maturity (Start Amt : Rs. 6,636.00)</t>
  </si>
  <si>
    <t>6th Sinking Fund FD / Started on 31-12-2008 &amp; Renewed at each maturity (Start Amt : Rs. 6,636.00)</t>
  </si>
  <si>
    <t>8th Sinking Fund FD / Started on 06-09-2010 &amp; Renewed at each maturity (Start Amt : Rs. 6,636.00)</t>
  </si>
  <si>
    <t>9th Sinking Fund FD / Started on 19-01-2012 &amp; Renewed at each maturity (Start Amt : Rs. 6,636.00)</t>
  </si>
  <si>
    <t>10th Sinking Fund FD / Started on 21-03-2013 &amp; Renewed at each maturity (Start Amt : Rs. 6,636.00)</t>
  </si>
  <si>
    <t>11th Sinking Fund FD / Started on 25-03-2014 &amp; Renewed at each maturity (Start Amt : Rs. 6,636.00)</t>
  </si>
  <si>
    <t>12th Sinking Fund FD / Started on 05-03-2015 &amp; Renewed at each maturity (Start Amt : Rs. 6,636.00)</t>
  </si>
  <si>
    <t>13th Sinking Fund FD / Started on 22-03-2016 &amp; Renewed at each maturity (Start Amt : Rs. 6,636.00)</t>
  </si>
  <si>
    <t>14th Sinking Fund FD / Started on 07-03-2017 &amp; Renewed at each maturity (Start Amt : Rs. 6,636.00)</t>
  </si>
  <si>
    <t>15th Sinking Fund FD / Started on 14-02-2018                 (Start Amt : Rs. 6,636.00)</t>
  </si>
  <si>
    <t>16th Sinking Fund FD / Started on 15-02-2019                     (Start Amt : Rs. 6,636.00)</t>
  </si>
  <si>
    <t>7th P'nt Fnd FD started on 15-02-2019                                                                        (Start Amt : 28,224.00)</t>
  </si>
  <si>
    <t>7.53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</si>
  <si>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31-03-2020 </t>
    </r>
  </si>
  <si>
    <t>FD Closed prematurely on 30-01-2020</t>
  </si>
  <si>
    <t>A/c No. 310792                               Rt. No. 0864189</t>
  </si>
  <si>
    <t>A/c No. 310793                               Rt. No. 0864190</t>
  </si>
  <si>
    <t>6.65</t>
  </si>
  <si>
    <t>.</t>
  </si>
  <si>
    <t>15</t>
  </si>
  <si>
    <t>Ac No. 3053482                               Rt No. 0865575</t>
  </si>
  <si>
    <t>8th P'nt Fnd FD started on 09-03-2020                                                                       (Start Amt : 28,224.00)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</si>
  <si>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31-03-2021 </t>
    </r>
  </si>
  <si>
    <t>6.75</t>
  </si>
  <si>
    <t>16.</t>
  </si>
  <si>
    <t>A/c No. 013811                               Rt. No. 1187812</t>
  </si>
  <si>
    <t>7.27</t>
  </si>
  <si>
    <t>17th Sinking Fund FD / Started on 11-03-2020                     (Start Amt : Rs. 6,636.00)</t>
  </si>
  <si>
    <t>6.5</t>
  </si>
  <si>
    <t>0</t>
  </si>
  <si>
    <t>5.25</t>
  </si>
  <si>
    <t>6.25</t>
  </si>
  <si>
    <t>4.75</t>
  </si>
  <si>
    <t>6</t>
  </si>
  <si>
    <t>5</t>
  </si>
  <si>
    <t>5.5</t>
  </si>
  <si>
    <t>Misc. FD Closed prematurely on 22-02-2021 /                  Mat Proceeds : Rs. 52,877.00</t>
  </si>
  <si>
    <t>9th P'nt Fnd FD started on 22-02-2021                                                                       (Start Amt : 28,224.00)</t>
  </si>
  <si>
    <t>17.</t>
  </si>
  <si>
    <t>Ac No. 3053697                               Rt No. 0875632</t>
  </si>
  <si>
    <t>4.5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</si>
  <si>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31-03-2022 </t>
    </r>
  </si>
  <si>
    <t>A/c No. 014129                               Rt. No. 1303084</t>
  </si>
  <si>
    <t>5.35</t>
  </si>
  <si>
    <t>Misc. FD Closed prematurely on 30-12-2021 /                  Mat Proceeds : Rs. 55,219.00</t>
  </si>
  <si>
    <t>18.</t>
  </si>
  <si>
    <t>19th Sinking Fund FD / Started on 08-03-2022                     (Start Amt : Rs. 6,636.00)</t>
  </si>
  <si>
    <t>10th P'nt Fnd FD started on 08-03-2022                                                                       (Start Amt : 28,224.00)</t>
  </si>
  <si>
    <t>Ac No. 3053862                               Rt No. 0892986</t>
  </si>
  <si>
    <t>A/c No. 014462                              Rt. No. 1344962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</si>
  <si>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31-03-2023 </t>
    </r>
  </si>
  <si>
    <t>A/c No. 009642                               Rt. No. 1351401</t>
  </si>
  <si>
    <t>18th Sinking Fund FD / Started on 22-02-2021                     (Start Amt : Rs. 6,636.00)</t>
  </si>
  <si>
    <t>15th Sinking Fund FD / Started on 14-02-2018  &amp; Renewed at each maturity (Start Amt : Rs. 6,636.00)</t>
  </si>
  <si>
    <t>16th Sinking Fund FD / Started on 15-02-2019 &amp; Renewed at each maturity (Start Amt : Rs. 6,636.00)</t>
  </si>
  <si>
    <t>17th Sinking Fund FD / Started on 11-03-2020 &amp; Renewed at each maturity (Start Amt : Rs. 6,636.00)</t>
  </si>
  <si>
    <t>2nd P'nt Fnd FD started on 26-03-2014  &amp;                                            Renewed at each maturity (Start Amt : Rs. 28,224.00)</t>
  </si>
  <si>
    <t>3rd P'nt Fnd FD started on 17-03-2015 &amp;                                            Renewed at each maturity (Start Amt : Rs. 28,224.00)</t>
  </si>
  <si>
    <t>5th P'nt Fnd FD started on 28-02-2017 &amp;                                            Renewed at each maturity (Start Amt : Rs. 28,224.00)                                                                       (Start Amt : 28,224.00)</t>
  </si>
  <si>
    <t>6th P'nt Fnd FD started on 14-02-2018 &amp;                                            Renewed at each maturity (Start Amt : Rs. 28,224.00)                                                                       (Start Amt : 28,224.00)</t>
  </si>
  <si>
    <t>7th P'nt Fnd FD started on 15-02-2019 &amp;                                            Renewed at each maturity (Start Amt : Rs. 28,224.00)                                                                       (Start Amt : 28,224.00)</t>
  </si>
  <si>
    <t>8th P'nt Fnd FD started on 09-03-2020 &amp;                                            Renewed at each maturity (Start Amt : Rs. 28,224.00)                                                                     (Start Amt : 28,224.00)</t>
  </si>
  <si>
    <t>9th P'nt Fnd FD started on 22-02-2021 &amp;                                            Renewed at each maturity (Start Amt : Rs. 28,224.00)                                                                      (Start Amt : 28,224.00)</t>
  </si>
  <si>
    <t>1st Sinking Fund FD / Started on 25-07-2004 &amp;                                   Renewed at each maturity (Start Amt : Rs. 3,318.00)</t>
  </si>
  <si>
    <t>2nd Sinking Fund FD / Started on 10-10-2004 &amp;                                  Renewed at each maturity (Start Amt : Rs. 6,636.00)</t>
  </si>
  <si>
    <t>3rd Sinking Fund FD / Started on 18-10-2005 &amp;                                    Renewed at each maturity (Start Amt : Rs. 6,636.00)</t>
  </si>
  <si>
    <t>4th Sinking Fund FD / Started on 21-02-2007 &amp;                                   Renewed at each maturity (Start Amt : Rs. 6,636.00)</t>
  </si>
  <si>
    <t>6th Sinking Fund FD / Started on 31-12-2008 &amp;                                        Renewed at each maturity (Start Amt : Rs. 6,636.00)</t>
  </si>
  <si>
    <t>8th Sinking Fund FD / Started on 06-09-2010 &amp;                                  Renewed at each maturity (Start Amt : Rs. 6,636.00)</t>
  </si>
  <si>
    <t>5th &amp; 7th Sinking Fnd FD merged on 21-03-2011                           (5th S'nkng FD: Rs 6,636 started on 31-03-2008 &amp;                                        7th S'nkng Fnd FD: Rs 6,636 started on 08-02-2010)</t>
  </si>
  <si>
    <t>9th Sinking Fund FD / Started on 19-01-2012 &amp;                                    Renewed at each maturity (Start Amt : Rs. 6,636.00)</t>
  </si>
  <si>
    <t>10th Sinking Fund FD / Started on 21-03-2013 &amp;                                      Renewed at each maturity (Start Amt : Rs. 6,636.00)</t>
  </si>
  <si>
    <t>11th Sinking Fund FD / Started on 25-03-2014 &amp;                                             Renewed at each maturity (Start Amt : Rs. 6,636.00)</t>
  </si>
  <si>
    <t>12th Sinking Fund FD / Started on 05-03-2015 &amp;                                   Renewed at each maturity (Start Amt : Rs. 6,636.00)</t>
  </si>
  <si>
    <t>13th Sinking Fund FD / Started on 22-03-2016 &amp;                                    Renewed at each maturity (Start Amt : Rs. 6,636.00)</t>
  </si>
  <si>
    <t>14th Sinking Fund FD / Started on 07-03-2017 &amp;                                            Renewed at each maturity (Start Amt : Rs. 6,636.00)</t>
  </si>
  <si>
    <t>15th Sinking Fund FD / Started on 14-02-2018 &amp;                                            Renewed at each maturity (Start Amt : Rs. 6,636.00)                (Start Amt : Rs. 6,636.00)</t>
  </si>
  <si>
    <t>16th Sinking Fund FD / Started on 15-02-2019 &amp;                                            Renewed at each maturity (Start Amt : Rs. 6,636.00)</t>
  </si>
  <si>
    <t>17th Sinking Fund FD / Started on 11-03-2020 &amp;                                            Renewed at each maturity (Start Amt : Rs. 6,636.00)</t>
  </si>
  <si>
    <t>18th Sinking Fund FD / Started on 22-02-2021 &amp; Renewed at each maturity (Start Amt : Rs. 6,636.00)</t>
  </si>
  <si>
    <t>1st P'nt Fnd FD (Renewed as FD-500 /Initially started on 08-01-2013 after close of all previous Painting Fund FDs  in 2011)</t>
  </si>
  <si>
    <t>18th Sinking Fund FD / Started on 22-02-2021  &amp;                                            Renewed at each maturity (Start Amt : Rs. 6,636.00)                   (Start Amt : Rs. 6,636.00)</t>
  </si>
  <si>
    <t xml:space="preserve"> Ac No. Old: 1116 /                          New: 305681981 /                             Rt. No.0681981</t>
  </si>
  <si>
    <t>A/c 006605400010055                             New  Rt. No.1351581</t>
  </si>
  <si>
    <t>A/c 006605400010421                             New  Rt. No.1351725</t>
  </si>
  <si>
    <t>A/c 006605400010319                             New  Rt. No.1351582</t>
  </si>
  <si>
    <t>Old Ac No: 121 chngd to New: 303542476 / Rt. No. 542476</t>
  </si>
  <si>
    <t>A/c No. 009642                               New Rt. No. 1351401</t>
  </si>
  <si>
    <t>A/c No. 009445                             New   Rt. No. 1351400</t>
  </si>
  <si>
    <r>
      <t xml:space="preserve">                                                    (</t>
    </r>
    <r>
      <rPr>
        <b/>
        <u/>
        <sz val="11"/>
        <rFont val="Palatino Linotype"/>
        <family val="1"/>
      </rPr>
      <t>MISC. &amp; PAINTING FUNDS</t>
    </r>
    <r>
      <rPr>
        <b/>
        <sz val="11"/>
        <rFont val="Palatino Linotype"/>
        <family val="1"/>
      </rPr>
      <t xml:space="preserve">) : </t>
    </r>
    <r>
      <rPr>
        <b/>
        <u/>
        <sz val="11"/>
        <rFont val="Palatino Linotype"/>
        <family val="1"/>
      </rPr>
      <t xml:space="preserve">CITIZEN CREDIT CO-OP. BANK LTD. </t>
    </r>
  </si>
  <si>
    <t>Invst / Rnwl Amt</t>
  </si>
  <si>
    <t>5.15</t>
  </si>
  <si>
    <t>4th P'nt Fnd FD started on 21-03-2016 / Closed on 24-01-2023 &amp; with its maturity proceeds of Rs. 43,223.00 created new FD with proceeds : Rs. 43,224.00</t>
  </si>
  <si>
    <t>Ac.101043021000459                               Rt No. 0914120</t>
  </si>
  <si>
    <t>271 Days</t>
  </si>
  <si>
    <t>Old 4th P'nt Fnd FD closed on 24-01-2023 &amp; created new from its proceeds : Rs. 43,223.00 on 24-01-2023</t>
  </si>
  <si>
    <t>6.3</t>
  </si>
  <si>
    <t>19.</t>
  </si>
  <si>
    <t>A/c No. 0147740                              Rt. No. 1352783</t>
  </si>
  <si>
    <t>16</t>
  </si>
  <si>
    <t>Ac 101043101000769                               Rt No. 0914381</t>
  </si>
  <si>
    <t>11th P'nt Fnd FD started on 06-03-2023                                                                       (Start Amt : 28,224.00)</t>
  </si>
  <si>
    <t>7.1</t>
  </si>
  <si>
    <t>Old 7th P'nt Fnd FD closed on 27-03-2023 &amp; created new from its proceeds : Rs.34,98.00 on 27-03-2023</t>
  </si>
  <si>
    <t>Ac.101043021000911                               Rt No. 0914511</t>
  </si>
  <si>
    <t>20th Sinking Fund FD / Started on 08-03-2023                     (Start Amt : Rs. 6,636.00)</t>
  </si>
  <si>
    <t>A/c No. Old 8176 / New 310647507                               Rt. No. 647507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</si>
  <si>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31-03-2024 </t>
    </r>
  </si>
  <si>
    <t>Ac.101043021001025                               Rt No. 0914654</t>
  </si>
  <si>
    <t>181 Days</t>
  </si>
  <si>
    <t>Ac.101043021001097                               Rt No. 0919305</t>
  </si>
  <si>
    <t>Old Misc Fnd : 4 FDs closed on 24-04-2023 &amp; created new from its proceeds : Rs. 8,60,9926.00 on 24-04-2023</t>
  </si>
  <si>
    <t>Old Misc Fnd : 1 FD closed on 15-04-2023 &amp; created new from its proceeds : Rs. 2,15,236.00 on 15-04-2023</t>
  </si>
  <si>
    <t>A/c No. 009445                             New   Rt. 1351400</t>
  </si>
  <si>
    <t>A/c No. 009642                               New Rt. 1351401</t>
  </si>
  <si>
    <t>7.0</t>
  </si>
  <si>
    <t>7.15</t>
  </si>
  <si>
    <t>A/c 006605400011380                             New  Rt. No.1351581</t>
  </si>
  <si>
    <t>A/c 006605400010421 / New  Rt. 1413068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</si>
  <si>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31-03-2025 </t>
    </r>
  </si>
  <si>
    <t>A/c 006605400015320                             New  Rt. No.1414516</t>
  </si>
  <si>
    <t>A/c 006605400015318                             New  Rt. No.1414517</t>
  </si>
  <si>
    <t>Ac.101043101003938                               Rt No. 0938176</t>
  </si>
  <si>
    <t>Ac.101043101003921                               Rt No. 0938175</t>
  </si>
  <si>
    <t>Ac.101043101003941                               Rt No. 0938177</t>
  </si>
  <si>
    <t>Ac.101043101003957                               Rt No. 0938178</t>
  </si>
  <si>
    <t>Ac.101043101003962                               Rt No. 0938179</t>
  </si>
  <si>
    <t>Ac.101043101004194                              Rt No. 0938321</t>
  </si>
  <si>
    <t>33 Months</t>
  </si>
  <si>
    <r>
      <t xml:space="preserve">                                                    (</t>
    </r>
    <r>
      <rPr>
        <b/>
        <u/>
        <sz val="11"/>
        <rFont val="Palatino Linotype"/>
        <family val="1"/>
      </rPr>
      <t>GEN. FUNDS</t>
    </r>
    <r>
      <rPr>
        <b/>
        <sz val="11"/>
        <rFont val="Palatino Linotype"/>
        <family val="1"/>
      </rPr>
      <t xml:space="preserve">) : </t>
    </r>
    <r>
      <rPr>
        <b/>
        <u/>
        <sz val="11"/>
        <rFont val="Palatino Linotype"/>
        <family val="1"/>
      </rPr>
      <t xml:space="preserve">CITIZEN CREDIT CO-OP. BANK LTD. </t>
    </r>
  </si>
  <si>
    <t>Helena Villa C.H.S. Ltd.</t>
  </si>
  <si>
    <t>Painting &amp; General Fixed Deposits Details</t>
  </si>
  <si>
    <t>Certificate No.</t>
  </si>
  <si>
    <t>Date</t>
  </si>
  <si>
    <t>Amount Invested</t>
  </si>
  <si>
    <t xml:space="preserve">Mat/Rnewed Date </t>
  </si>
  <si>
    <t>Mat/Rnwd amt (before cls)</t>
  </si>
  <si>
    <t xml:space="preserve">Closed Date / Pre or On mat </t>
  </si>
  <si>
    <t xml:space="preserve">Clsd amt less TDS crdtd in SB </t>
  </si>
  <si>
    <t>Painting Funds as at end of 31 Mar 2023 (All closed in FY 2023-24 either on Maturity or Pre-maturely)</t>
  </si>
  <si>
    <t>24.01.2023</t>
  </si>
  <si>
    <t>22.10.2023</t>
  </si>
  <si>
    <t>23.10.2023</t>
  </si>
  <si>
    <t>Citizen</t>
  </si>
  <si>
    <t>30524 R06</t>
  </si>
  <si>
    <t>12.06.2022</t>
  </si>
  <si>
    <t>25.10.2023</t>
  </si>
  <si>
    <t>3053697 R01</t>
  </si>
  <si>
    <t>07.07.2022</t>
  </si>
  <si>
    <t>19.11.2023</t>
  </si>
  <si>
    <t>20.11.2023</t>
  </si>
  <si>
    <t>27.03.2023</t>
  </si>
  <si>
    <t>23.12.2023</t>
  </si>
  <si>
    <t>26.12.2023</t>
  </si>
  <si>
    <t>3051949 R04</t>
  </si>
  <si>
    <t>21.08.2022</t>
  </si>
  <si>
    <t>03.01.2024</t>
  </si>
  <si>
    <t>10.01.2024</t>
  </si>
  <si>
    <t>3052448 R03</t>
  </si>
  <si>
    <t>25.03.2022</t>
  </si>
  <si>
    <t>07.08.2023</t>
  </si>
  <si>
    <t>20.02.2024</t>
  </si>
  <si>
    <t>305681981_R06</t>
  </si>
  <si>
    <t>01.04.2022</t>
  </si>
  <si>
    <t>14.08.2023</t>
  </si>
  <si>
    <t>17.03.2020</t>
  </si>
  <si>
    <t>17.03.2025</t>
  </si>
  <si>
    <t>3053482 R02</t>
  </si>
  <si>
    <t>04.12.2022</t>
  </si>
  <si>
    <t>17.04.2024</t>
  </si>
  <si>
    <t>06.03.2024</t>
  </si>
  <si>
    <t>08.03.2022</t>
  </si>
  <si>
    <t>21.07.2023</t>
  </si>
  <si>
    <t>06.03.2023</t>
  </si>
  <si>
    <t>Gen Funds as at end of Mar 2023 / (Closed on mat in FY 23-24 &amp; New Short Term Gen Fnd opened with maturity same FY 23-24)</t>
  </si>
  <si>
    <t>310647507 R01</t>
  </si>
  <si>
    <t>15.04.2018</t>
  </si>
  <si>
    <t>15.04.2023</t>
  </si>
  <si>
    <t>Maturity amount of 1st closed Gen Fund FD</t>
  </si>
  <si>
    <t>310647539 R01</t>
  </si>
  <si>
    <t>22.04.2018</t>
  </si>
  <si>
    <t>22.04.2023</t>
  </si>
  <si>
    <t>24.04.2023</t>
  </si>
  <si>
    <t>310647540 R01</t>
  </si>
  <si>
    <t>310647541 R01</t>
  </si>
  <si>
    <t>310647542 R01</t>
  </si>
  <si>
    <t>Mat amt of 2nd to 4th closed Gen Fund FDs</t>
  </si>
  <si>
    <t>Short term General Funds opened &amp; closed in same FY 23-24 out of maturity of old closed GEN Fund FDs in FY 23-24.</t>
  </si>
  <si>
    <t xml:space="preserve">101043021001025 </t>
  </si>
  <si>
    <t>13.10.2023</t>
  </si>
  <si>
    <t>101043021001097</t>
  </si>
  <si>
    <t>Short Term Gen Fnd FDs start amt</t>
  </si>
  <si>
    <t>Short Term Gen Fund FDs Maturity amount</t>
  </si>
  <si>
    <t>Total yield from close of all Painting &amp; Gen Fund FDs in FY 23-24</t>
  </si>
  <si>
    <t>New General Funds opened again &amp; are running currently  in FY 2023-24</t>
  </si>
  <si>
    <t xml:space="preserve">101043101003921 </t>
  </si>
  <si>
    <t>12.02.2024</t>
  </si>
  <si>
    <t>12.11.2026</t>
  </si>
  <si>
    <t xml:space="preserve">101043101003938 </t>
  </si>
  <si>
    <t xml:space="preserve">101043101003941 </t>
  </si>
  <si>
    <t xml:space="preserve">101043101003957 </t>
  </si>
  <si>
    <t xml:space="preserve">101043101004194 </t>
  </si>
  <si>
    <t>18.03.2024</t>
  </si>
  <si>
    <t>18.12.2026</t>
  </si>
  <si>
    <t>New Short Term Gen FDs  start amt</t>
  </si>
  <si>
    <t>New Short Term Gen FDs  maturity amt</t>
  </si>
  <si>
    <t>Sinking Fund Fixed Deposits Details</t>
  </si>
  <si>
    <t>(1a) Sinking Fund FD held with Citizen during FY 23-24 (Started in 2011 by merger of two FDs of 2008 &amp; 2010 and renewed thereafter)</t>
  </si>
  <si>
    <t xml:space="preserve">Mat/Rnwd Date </t>
  </si>
  <si>
    <t xml:space="preserve">Mat amt </t>
  </si>
  <si>
    <t>3542476 R11</t>
  </si>
  <si>
    <t>18.03.2023</t>
  </si>
  <si>
    <t>17.03.2024</t>
  </si>
  <si>
    <t>Renewed  on 17-03.2024  / Renewed Amount</t>
  </si>
  <si>
    <t>(1b) Sinking Funds held with MDCC Bank during FY 23-24 (All closed Pre-maturely  &amp; merged into one new FD on 22-03-2024)</t>
  </si>
  <si>
    <t xml:space="preserve">Pre Close                    Mat amt </t>
  </si>
  <si>
    <t xml:space="preserve">Clsd amt /                  credietd in SB </t>
  </si>
  <si>
    <t>12532 - 1</t>
  </si>
  <si>
    <t>21.03.2024</t>
  </si>
  <si>
    <t>21.03.2025</t>
  </si>
  <si>
    <t>22.03.2024</t>
  </si>
  <si>
    <t>10055 - 1</t>
  </si>
  <si>
    <t>19.04.2023</t>
  </si>
  <si>
    <t>19.04.2024</t>
  </si>
  <si>
    <t>10319 - 1</t>
  </si>
  <si>
    <t>21.05.2023</t>
  </si>
  <si>
    <t>21.05.2024</t>
  </si>
  <si>
    <t>10421 - 1</t>
  </si>
  <si>
    <t>05.06.2023</t>
  </si>
  <si>
    <t>05.06.2024</t>
  </si>
  <si>
    <t>10578 - 1</t>
  </si>
  <si>
    <t>29.06.2023</t>
  </si>
  <si>
    <t>29.06.2024</t>
  </si>
  <si>
    <t>10591 - 1</t>
  </si>
  <si>
    <t>30.06.2023</t>
  </si>
  <si>
    <t>30.06.2024</t>
  </si>
  <si>
    <t>10708 - 1</t>
  </si>
  <si>
    <t>09.07.2023</t>
  </si>
  <si>
    <t>09.07.2024</t>
  </si>
  <si>
    <t>10706 - 1</t>
  </si>
  <si>
    <t>10707 - 1</t>
  </si>
  <si>
    <t>11380 - 1</t>
  </si>
  <si>
    <t>25.09.2023</t>
  </si>
  <si>
    <t>25.09.2024</t>
  </si>
  <si>
    <t>9642 - 1</t>
  </si>
  <si>
    <t>22.03.2023</t>
  </si>
  <si>
    <t>9445 - 1</t>
  </si>
  <si>
    <t>07.03.2024</t>
  </si>
  <si>
    <t>07.03.2025</t>
  </si>
  <si>
    <t>14.02.2024</t>
  </si>
  <si>
    <t>14.02.2027</t>
  </si>
  <si>
    <t>13169 - 1</t>
  </si>
  <si>
    <t>15.02.2024</t>
  </si>
  <si>
    <t>15.02.2025</t>
  </si>
  <si>
    <t>11.03.2024</t>
  </si>
  <si>
    <t>11.03.2026</t>
  </si>
  <si>
    <t>14129 - 1</t>
  </si>
  <si>
    <t>22.02.2024</t>
  </si>
  <si>
    <t>22.02.2025</t>
  </si>
  <si>
    <t>14462 - 1</t>
  </si>
  <si>
    <t>08.03.2024</t>
  </si>
  <si>
    <t>08.03.2025</t>
  </si>
  <si>
    <t>22.03.2025</t>
  </si>
  <si>
    <t>08.02.2024</t>
  </si>
  <si>
    <t>08.02.2025</t>
  </si>
  <si>
    <t xml:space="preserve">(1c) New Sinking Fund FD with MDCC opened from closed proceeds of old 18 FDs (Of years 2004 to 2007, 2009, 2011 to 2023 ) </t>
  </si>
  <si>
    <t>22.03.2026</t>
  </si>
  <si>
    <t xml:space="preserve">(1d) New Sinking Fund FD opened with MDCC / Started as FD for FY 2023-24 by transfer of balance from SB Ac in MDCC 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</si>
  <si>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31-03-2026 </t>
    </r>
  </si>
  <si>
    <t>15 Months</t>
  </si>
  <si>
    <t>7.7</t>
  </si>
  <si>
    <r>
      <t xml:space="preserve">                                          SHARE CAPITAL</t>
    </r>
    <r>
      <rPr>
        <b/>
        <u/>
        <sz val="11"/>
        <rFont val="Palatino Linotype"/>
        <family val="1"/>
      </rPr>
      <t xml:space="preserve"> FUND</t>
    </r>
    <r>
      <rPr>
        <b/>
        <sz val="11"/>
        <rFont val="Palatino Linotype"/>
        <family val="1"/>
      </rPr>
      <t xml:space="preserve"> : </t>
    </r>
    <r>
      <rPr>
        <b/>
        <u/>
        <sz val="11"/>
        <rFont val="Palatino Linotype"/>
        <family val="1"/>
      </rPr>
      <t>THE MDCC BANK LTD</t>
    </r>
    <r>
      <rPr>
        <b/>
        <sz val="11"/>
        <rFont val="Palatino Linotype"/>
        <family val="1"/>
      </rPr>
      <t xml:space="preserve">. </t>
    </r>
  </si>
  <si>
    <t>A/c 006605400015752                             New  Rt. No. 1453944</t>
  </si>
  <si>
    <t>A/c 006601200007650                             New  Rt. No. 1453945</t>
  </si>
  <si>
    <t>Ac.101043021004019                             Rt No. 0948162</t>
  </si>
  <si>
    <t>11th P'nt Fnd FD started on 24-03-2025                                                                       (Start Amt : 28,224.00)</t>
  </si>
  <si>
    <r>
      <t xml:space="preserve">                                                    (</t>
    </r>
    <r>
      <rPr>
        <b/>
        <u/>
        <sz val="11"/>
        <rFont val="Palatino Linotype"/>
        <family val="1"/>
      </rPr>
      <t>PAINTING &amp; GEN. FUNDS</t>
    </r>
    <r>
      <rPr>
        <b/>
        <sz val="11"/>
        <rFont val="Palatino Linotype"/>
        <family val="1"/>
      </rPr>
      <t xml:space="preserve">) : </t>
    </r>
    <r>
      <rPr>
        <b/>
        <u/>
        <sz val="11"/>
        <rFont val="Palatino Linotype"/>
        <family val="1"/>
      </rPr>
      <t xml:space="preserve">CITIZEN CREDIT CO-OP. BANK LTD. </t>
    </r>
  </si>
  <si>
    <t xml:space="preserve"> 1st  New Painting Fnd FD started on 24-03-2025                 (After close of all earlier Painting Funds in FY 2023-24)                                                                 </t>
  </si>
  <si>
    <t xml:space="preserve"> Merged New Sinking Fund FD made on 22-03-2024                                                     (Old 18 separate Snkng FDs of years 2004 to 2023 closed &amp; merged)  (Merged start Amt : Rs. 2,56,718.00)</t>
  </si>
  <si>
    <t xml:space="preserve"> Additional Sinking Fund FD for FY 2023-24 /                                                              (Started on 22-03-2024  / Start Amt : Rs. 8,368.00)</t>
  </si>
  <si>
    <t xml:space="preserve"> Additional Sinking Fund FD for FY 2024-25 /                                                              (Started on 20-03-2025  / Start Amt : Rs. 6,844.00)</t>
  </si>
  <si>
    <t xml:space="preserve"> New initial Share Capital Fund FD /                                                                                  (Created on 20-03-2025 of Amt Rs 3,500)              </t>
  </si>
  <si>
    <t xml:space="preserve">Gen. FDs under createf QIRP scheme </t>
  </si>
  <si>
    <t>24 Mnths (Pr clsd:18-10-25)</t>
  </si>
  <si>
    <t>2,99,315.00                   (Pr cls amt: 2,84,096.00)</t>
  </si>
  <si>
    <t>7.75 (Pr cls yld @ : 6.5)</t>
  </si>
  <si>
    <t>Ac.1010431007566                           Rt No. 0970161</t>
  </si>
  <si>
    <t>29,481.00 (Prcds less tds:29,477.00)</t>
  </si>
  <si>
    <r>
      <t xml:space="preserve">                                                              </t>
    </r>
    <r>
      <rPr>
        <b/>
        <u/>
        <sz val="11"/>
        <rFont val="Arial"/>
        <family val="2"/>
      </rPr>
      <t xml:space="preserve">FD DETAILS AS ON  31-03-2027 </t>
    </r>
  </si>
  <si>
    <t>6.1</t>
  </si>
  <si>
    <t xml:space="preserve"> Additional Sinking Fund FD for FY 2025-26 /                                                              (Started on 30-03-2026  / Start Amt : Rs. 6,636.00)</t>
  </si>
  <si>
    <t>Ac.1010431008237                           Rt No. 00000000</t>
  </si>
  <si>
    <t>2nd P'nt Fnd FD started on 30-03-2026                                                (Start Amt : 28,224.00)</t>
  </si>
  <si>
    <t>A/c 006605400016212                             New  Rt. No. 4504130</t>
  </si>
  <si>
    <t>1st P'nt Fnd FD clsd at maturity on 20-12-2025 (Rinvstd on 24-03-2025 : Rs 28,224.00) / New 1st Pntng FD started on 20-12-2025 (Start Amt : Rs. 30,000.00)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</si>
</sst>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409]d\-mmm\-yyyy;@"/>
    <numFmt numFmtId="166" formatCode="#,##0.00_ ;[Red]\-#,##0.00\ 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u/>
      <sz val="14"/>
      <name val="Times New Roman"/>
      <family val="1"/>
    </font>
    <font>
      <b/>
      <sz val="11"/>
      <name val="Arial"/>
      <family val="2"/>
    </font>
    <font>
      <b/>
      <u/>
      <sz val="11"/>
      <name val="Arial"/>
      <family val="2"/>
    </font>
    <font>
      <b/>
      <sz val="11"/>
      <name val="Palatino Linotype"/>
      <family val="1"/>
    </font>
    <font>
      <b/>
      <u/>
      <sz val="11"/>
      <name val="Palatino Linotype"/>
      <family val="1"/>
    </font>
    <font>
      <sz val="9"/>
      <name val="Tahoma"/>
      <family val="2"/>
    </font>
    <font>
      <sz val="10"/>
      <name val="Franklin Gothic Book"/>
      <family val="2"/>
    </font>
    <font>
      <sz val="9"/>
      <name val="Arial"/>
      <family val="2"/>
    </font>
    <font>
      <sz val="10"/>
      <name val="Arial"/>
      <family val="2"/>
    </font>
    <font>
      <sz val="9"/>
      <name val="Verdana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248">
    <xf numFmtId="0" fontId="0" fillId="0" borderId="0" xfId="0"/>
    <xf numFmtId="0" fontId="1" fillId="2" borderId="0" xfId="1" applyFill="1"/>
    <xf numFmtId="49" fontId="12" fillId="2" borderId="0" xfId="1" applyNumberFormat="1" applyFont="1" applyFill="1" applyAlignment="1">
      <alignment horizontal="center"/>
    </xf>
    <xf numFmtId="0" fontId="0" fillId="2" borderId="0" xfId="0" applyFill="1"/>
    <xf numFmtId="49" fontId="8" fillId="2" borderId="1" xfId="1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49" fontId="10" fillId="2" borderId="2" xfId="1" applyNumberFormat="1" applyFont="1" applyFill="1" applyBorder="1" applyAlignment="1">
      <alignment horizontal="center" vertical="center"/>
    </xf>
    <xf numFmtId="49" fontId="10" fillId="2" borderId="2" xfId="2" applyNumberFormat="1" applyFont="1" applyFill="1" applyBorder="1" applyAlignment="1">
      <alignment horizontal="centerContinuous" vertical="center" wrapText="1"/>
    </xf>
    <xf numFmtId="165" fontId="10" fillId="2" borderId="3" xfId="1" applyNumberFormat="1" applyFont="1" applyFill="1" applyBorder="1" applyAlignment="1">
      <alignment horizontal="center" vertical="center"/>
    </xf>
    <xf numFmtId="164" fontId="10" fillId="2" borderId="2" xfId="2" applyFont="1" applyFill="1" applyBorder="1" applyAlignment="1">
      <alignment vertical="center"/>
    </xf>
    <xf numFmtId="164" fontId="10" fillId="2" borderId="2" xfId="2" quotePrefix="1" applyFont="1" applyFill="1" applyBorder="1" applyAlignment="1">
      <alignment horizontal="center" vertical="center"/>
    </xf>
    <xf numFmtId="49" fontId="10" fillId="2" borderId="3" xfId="2" applyNumberFormat="1" applyFont="1" applyFill="1" applyBorder="1" applyAlignment="1">
      <alignment horizontal="center" vertical="center" wrapText="1"/>
    </xf>
    <xf numFmtId="49" fontId="10" fillId="2" borderId="3" xfId="1" applyNumberFormat="1" applyFont="1" applyFill="1" applyBorder="1" applyAlignment="1">
      <alignment horizontal="center" vertical="center"/>
    </xf>
    <xf numFmtId="49" fontId="10" fillId="2" borderId="3" xfId="2" applyNumberFormat="1" applyFont="1" applyFill="1" applyBorder="1" applyAlignment="1">
      <alignment horizontal="centerContinuous" vertical="center" wrapText="1"/>
    </xf>
    <xf numFmtId="164" fontId="10" fillId="2" borderId="3" xfId="2" applyFont="1" applyFill="1" applyBorder="1" applyAlignment="1">
      <alignment vertical="center"/>
    </xf>
    <xf numFmtId="164" fontId="10" fillId="2" borderId="3" xfId="2" quotePrefix="1" applyFont="1" applyFill="1" applyBorder="1" applyAlignment="1">
      <alignment horizontal="center" vertical="center"/>
    </xf>
    <xf numFmtId="49" fontId="10" fillId="2" borderId="4" xfId="1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Continuous" vertical="center" wrapText="1"/>
    </xf>
    <xf numFmtId="165" fontId="10" fillId="2" borderId="4" xfId="1" applyNumberFormat="1" applyFont="1" applyFill="1" applyBorder="1" applyAlignment="1">
      <alignment horizontal="center" vertical="center"/>
    </xf>
    <xf numFmtId="164" fontId="10" fillId="2" borderId="4" xfId="2" applyFont="1" applyFill="1" applyBorder="1" applyAlignment="1">
      <alignment vertical="center"/>
    </xf>
    <xf numFmtId="49" fontId="10" fillId="2" borderId="4" xfId="2" applyNumberFormat="1" applyFont="1" applyFill="1" applyBorder="1" applyAlignment="1">
      <alignment horizontal="center" vertical="center" wrapText="1"/>
    </xf>
    <xf numFmtId="165" fontId="10" fillId="2" borderId="2" xfId="1" applyNumberFormat="1" applyFont="1" applyFill="1" applyBorder="1" applyAlignment="1">
      <alignment horizontal="center" vertical="center"/>
    </xf>
    <xf numFmtId="40" fontId="10" fillId="2" borderId="2" xfId="2" applyNumberFormat="1" applyFont="1" applyFill="1" applyBorder="1" applyAlignment="1">
      <alignment horizontal="center" vertical="center"/>
    </xf>
    <xf numFmtId="49" fontId="10" fillId="2" borderId="2" xfId="2" applyNumberFormat="1" applyFont="1" applyFill="1" applyBorder="1" applyAlignment="1">
      <alignment horizontal="center" vertical="center" wrapText="1"/>
    </xf>
    <xf numFmtId="40" fontId="10" fillId="2" borderId="3" xfId="2" quotePrefix="1" applyNumberFormat="1" applyFont="1" applyFill="1" applyBorder="1" applyAlignment="1">
      <alignment horizontal="center" vertical="center"/>
    </xf>
    <xf numFmtId="164" fontId="10" fillId="2" borderId="4" xfId="2" quotePrefix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left" vertical="center"/>
    </xf>
    <xf numFmtId="49" fontId="4" fillId="2" borderId="0" xfId="1" applyNumberFormat="1" applyFont="1" applyFill="1" applyAlignment="1">
      <alignment horizontal="left" vertical="center"/>
    </xf>
    <xf numFmtId="49" fontId="13" fillId="2" borderId="3" xfId="2" applyNumberFormat="1" applyFont="1" applyFill="1" applyBorder="1" applyAlignment="1">
      <alignment horizontal="centerContinuous" vertical="center" wrapText="1"/>
    </xf>
    <xf numFmtId="49" fontId="13" fillId="2" borderId="2" xfId="2" applyNumberFormat="1" applyFont="1" applyFill="1" applyBorder="1" applyAlignment="1">
      <alignment horizontal="centerContinuous" vertical="center" wrapText="1"/>
    </xf>
    <xf numFmtId="49" fontId="10" fillId="2" borderId="20" xfId="2" applyNumberFormat="1" applyFont="1" applyFill="1" applyBorder="1" applyAlignment="1">
      <alignment horizontal="centerContinuous" vertical="center" wrapText="1"/>
    </xf>
    <xf numFmtId="165" fontId="10" fillId="2" borderId="20" xfId="1" applyNumberFormat="1" applyFont="1" applyFill="1" applyBorder="1" applyAlignment="1">
      <alignment horizontal="center" vertical="center"/>
    </xf>
    <xf numFmtId="164" fontId="10" fillId="2" borderId="20" xfId="2" quotePrefix="1" applyFont="1" applyFill="1" applyBorder="1" applyAlignment="1">
      <alignment horizontal="center" vertical="center"/>
    </xf>
    <xf numFmtId="49" fontId="10" fillId="2" borderId="20" xfId="2" applyNumberFormat="1" applyFont="1" applyFill="1" applyBorder="1" applyAlignment="1">
      <alignment horizontal="center" vertical="center" wrapText="1"/>
    </xf>
    <xf numFmtId="165" fontId="10" fillId="2" borderId="21" xfId="1" applyNumberFormat="1" applyFont="1" applyFill="1" applyBorder="1" applyAlignment="1">
      <alignment horizontal="center" vertical="center"/>
    </xf>
    <xf numFmtId="164" fontId="10" fillId="2" borderId="21" xfId="2" applyFont="1" applyFill="1" applyBorder="1" applyAlignment="1">
      <alignment vertical="center"/>
    </xf>
    <xf numFmtId="49" fontId="10" fillId="2" borderId="21" xfId="1" applyNumberFormat="1" applyFont="1" applyFill="1" applyBorder="1" applyAlignment="1">
      <alignment horizontal="center" vertical="center"/>
    </xf>
    <xf numFmtId="49" fontId="10" fillId="2" borderId="21" xfId="2" applyNumberFormat="1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right" vertical="center" wrapText="1"/>
    </xf>
    <xf numFmtId="164" fontId="10" fillId="2" borderId="21" xfId="2" quotePrefix="1" applyFont="1" applyFill="1" applyBorder="1" applyAlignment="1">
      <alignment horizontal="center" vertical="center"/>
    </xf>
    <xf numFmtId="164" fontId="10" fillId="2" borderId="20" xfId="2" applyFont="1" applyFill="1" applyBorder="1" applyAlignment="1">
      <alignment vertical="center"/>
    </xf>
    <xf numFmtId="49" fontId="10" fillId="2" borderId="21" xfId="2" applyNumberFormat="1" applyFont="1" applyFill="1" applyBorder="1" applyAlignment="1">
      <alignment horizontal="centerContinuous" vertical="center" wrapText="1"/>
    </xf>
    <xf numFmtId="49" fontId="10" fillId="2" borderId="20" xfId="1" applyNumberFormat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right" vertical="top" wrapText="1"/>
    </xf>
    <xf numFmtId="40" fontId="10" fillId="2" borderId="21" xfId="2" quotePrefix="1" applyNumberFormat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right" vertical="center" wrapText="1"/>
    </xf>
    <xf numFmtId="0" fontId="14" fillId="2" borderId="0" xfId="0" applyFont="1" applyFill="1"/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165" fontId="10" fillId="0" borderId="3" xfId="1" applyNumberFormat="1" applyFont="1" applyBorder="1" applyAlignment="1">
      <alignment horizontal="center" vertical="center"/>
    </xf>
    <xf numFmtId="164" fontId="10" fillId="2" borderId="3" xfId="2" applyFont="1" applyFill="1" applyBorder="1" applyAlignment="1">
      <alignment horizontal="right" vertical="center"/>
    </xf>
    <xf numFmtId="49" fontId="10" fillId="2" borderId="2" xfId="4" applyNumberFormat="1" applyFont="1" applyFill="1" applyBorder="1" applyAlignment="1">
      <alignment horizontal="centerContinuous" vertical="center" wrapText="1"/>
    </xf>
    <xf numFmtId="49" fontId="10" fillId="2" borderId="3" xfId="4" applyNumberFormat="1" applyFont="1" applyFill="1" applyBorder="1" applyAlignment="1">
      <alignment horizontal="centerContinuous" vertical="center" wrapText="1"/>
    </xf>
    <xf numFmtId="49" fontId="10" fillId="2" borderId="4" xfId="4" applyNumberFormat="1" applyFont="1" applyFill="1" applyBorder="1" applyAlignment="1">
      <alignment horizontal="centerContinuous" vertical="center" wrapText="1"/>
    </xf>
    <xf numFmtId="4" fontId="10" fillId="2" borderId="3" xfId="2" applyNumberFormat="1" applyFont="1" applyFill="1" applyBorder="1" applyAlignment="1">
      <alignment horizontal="right" vertical="center"/>
    </xf>
    <xf numFmtId="4" fontId="10" fillId="2" borderId="2" xfId="2" applyNumberFormat="1" applyFont="1" applyFill="1" applyBorder="1" applyAlignment="1">
      <alignment horizontal="right" vertical="center"/>
    </xf>
    <xf numFmtId="4" fontId="10" fillId="2" borderId="2" xfId="2" quotePrefix="1" applyNumberFormat="1" applyFont="1" applyFill="1" applyBorder="1" applyAlignment="1">
      <alignment horizontal="right" vertical="center"/>
    </xf>
    <xf numFmtId="4" fontId="10" fillId="2" borderId="3" xfId="2" quotePrefix="1" applyNumberFormat="1" applyFont="1" applyFill="1" applyBorder="1" applyAlignment="1">
      <alignment horizontal="right" vertical="center"/>
    </xf>
    <xf numFmtId="4" fontId="10" fillId="2" borderId="4" xfId="2" applyNumberFormat="1" applyFont="1" applyFill="1" applyBorder="1" applyAlignment="1">
      <alignment horizontal="right" vertical="center"/>
    </xf>
    <xf numFmtId="49" fontId="10" fillId="2" borderId="3" xfId="4" applyNumberFormat="1" applyFont="1" applyFill="1" applyBorder="1" applyAlignment="1">
      <alignment horizontal="center" vertical="center" wrapText="1"/>
    </xf>
    <xf numFmtId="4" fontId="10" fillId="2" borderId="2" xfId="2" applyNumberFormat="1" applyFont="1" applyFill="1" applyBorder="1" applyAlignment="1">
      <alignment vertical="center"/>
    </xf>
    <xf numFmtId="4" fontId="10" fillId="2" borderId="2" xfId="2" quotePrefix="1" applyNumberFormat="1" applyFont="1" applyFill="1" applyBorder="1" applyAlignment="1">
      <alignment vertical="center"/>
    </xf>
    <xf numFmtId="4" fontId="10" fillId="2" borderId="3" xfId="2" applyNumberFormat="1" applyFont="1" applyFill="1" applyBorder="1" applyAlignment="1">
      <alignment vertical="center"/>
    </xf>
    <xf numFmtId="4" fontId="10" fillId="2" borderId="3" xfId="2" quotePrefix="1" applyNumberFormat="1" applyFont="1" applyFill="1" applyBorder="1" applyAlignment="1">
      <alignment vertical="center"/>
    </xf>
    <xf numFmtId="165" fontId="10" fillId="2" borderId="3" xfId="3" applyNumberFormat="1" applyFont="1" applyFill="1" applyBorder="1" applyAlignment="1">
      <alignment horizontal="center" vertical="center"/>
    </xf>
    <xf numFmtId="4" fontId="10" fillId="2" borderId="4" xfId="2" applyNumberFormat="1" applyFont="1" applyFill="1" applyBorder="1" applyAlignment="1">
      <alignment vertical="center"/>
    </xf>
    <xf numFmtId="4" fontId="10" fillId="2" borderId="4" xfId="2" quotePrefix="1" applyNumberFormat="1" applyFont="1" applyFill="1" applyBorder="1" applyAlignment="1">
      <alignment vertical="center"/>
    </xf>
    <xf numFmtId="165" fontId="10" fillId="2" borderId="21" xfId="3" applyNumberFormat="1" applyFont="1" applyFill="1" applyBorder="1" applyAlignment="1">
      <alignment horizontal="center" vertical="center"/>
    </xf>
    <xf numFmtId="4" fontId="10" fillId="2" borderId="21" xfId="2" quotePrefix="1" applyNumberFormat="1" applyFont="1" applyFill="1" applyBorder="1" applyAlignment="1">
      <alignment vertical="center"/>
    </xf>
    <xf numFmtId="4" fontId="10" fillId="2" borderId="20" xfId="2" applyNumberFormat="1" applyFont="1" applyFill="1" applyBorder="1" applyAlignment="1">
      <alignment vertical="center"/>
    </xf>
    <xf numFmtId="4" fontId="10" fillId="2" borderId="27" xfId="2" applyNumberFormat="1" applyFont="1" applyFill="1" applyBorder="1" applyAlignment="1">
      <alignment vertical="center"/>
    </xf>
    <xf numFmtId="4" fontId="10" fillId="2" borderId="27" xfId="2" quotePrefix="1" applyNumberFormat="1" applyFont="1" applyFill="1" applyBorder="1" applyAlignment="1">
      <alignment vertical="center"/>
    </xf>
    <xf numFmtId="49" fontId="10" fillId="2" borderId="28" xfId="1" applyNumberFormat="1" applyFont="1" applyFill="1" applyBorder="1" applyAlignment="1">
      <alignment horizontal="center" vertical="center"/>
    </xf>
    <xf numFmtId="49" fontId="10" fillId="2" borderId="28" xfId="2" applyNumberFormat="1" applyFont="1" applyFill="1" applyBorder="1" applyAlignment="1">
      <alignment horizontal="centerContinuous" vertical="center" wrapText="1"/>
    </xf>
    <xf numFmtId="165" fontId="10" fillId="2" borderId="28" xfId="1" applyNumberFormat="1" applyFont="1" applyFill="1" applyBorder="1" applyAlignment="1">
      <alignment horizontal="center" vertical="center"/>
    </xf>
    <xf numFmtId="4" fontId="10" fillId="2" borderId="28" xfId="2" quotePrefix="1" applyNumberFormat="1" applyFont="1" applyFill="1" applyBorder="1" applyAlignment="1">
      <alignment vertical="center"/>
    </xf>
    <xf numFmtId="49" fontId="10" fillId="2" borderId="28" xfId="2" applyNumberFormat="1" applyFont="1" applyFill="1" applyBorder="1" applyAlignment="1">
      <alignment horizontal="center" vertical="center" wrapText="1"/>
    </xf>
    <xf numFmtId="49" fontId="10" fillId="2" borderId="29" xfId="1" applyNumberFormat="1" applyFont="1" applyFill="1" applyBorder="1" applyAlignment="1">
      <alignment horizontal="center" vertical="center"/>
    </xf>
    <xf numFmtId="165" fontId="10" fillId="2" borderId="29" xfId="1" applyNumberFormat="1" applyFont="1" applyFill="1" applyBorder="1" applyAlignment="1">
      <alignment horizontal="center" vertical="center"/>
    </xf>
    <xf numFmtId="4" fontId="10" fillId="2" borderId="29" xfId="2" applyNumberFormat="1" applyFont="1" applyFill="1" applyBorder="1" applyAlignment="1">
      <alignment vertical="center"/>
    </xf>
    <xf numFmtId="49" fontId="10" fillId="2" borderId="29" xfId="2" applyNumberFormat="1" applyFont="1" applyFill="1" applyBorder="1" applyAlignment="1">
      <alignment horizontal="center" vertical="center" wrapText="1"/>
    </xf>
    <xf numFmtId="49" fontId="10" fillId="2" borderId="27" xfId="2" applyNumberFormat="1" applyFont="1" applyFill="1" applyBorder="1" applyAlignment="1">
      <alignment horizontal="center" vertical="center" wrapText="1"/>
    </xf>
    <xf numFmtId="49" fontId="10" fillId="2" borderId="27" xfId="1" applyNumberFormat="1" applyFont="1" applyFill="1" applyBorder="1" applyAlignment="1">
      <alignment horizontal="center" vertical="center"/>
    </xf>
    <xf numFmtId="49" fontId="10" fillId="2" borderId="27" xfId="2" applyNumberFormat="1" applyFont="1" applyFill="1" applyBorder="1" applyAlignment="1">
      <alignment horizontal="centerContinuous" vertical="center" wrapText="1"/>
    </xf>
    <xf numFmtId="165" fontId="10" fillId="2" borderId="27" xfId="1" applyNumberFormat="1" applyFont="1" applyFill="1" applyBorder="1" applyAlignment="1">
      <alignment horizontal="center" vertical="center"/>
    </xf>
    <xf numFmtId="165" fontId="10" fillId="3" borderId="3" xfId="3" applyNumberFormat="1" applyFont="1" applyFill="1" applyBorder="1" applyAlignment="1">
      <alignment horizontal="center" vertical="center"/>
    </xf>
    <xf numFmtId="165" fontId="10" fillId="3" borderId="3" xfId="1" applyNumberFormat="1" applyFont="1" applyFill="1" applyBorder="1" applyAlignment="1">
      <alignment horizontal="center" vertical="center"/>
    </xf>
    <xf numFmtId="165" fontId="10" fillId="3" borderId="27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2" borderId="1" xfId="4" applyNumberFormat="1" applyFont="1" applyFill="1" applyBorder="1" applyAlignment="1">
      <alignment horizontal="centerContinuous" vertical="center" wrapText="1"/>
    </xf>
    <xf numFmtId="165" fontId="10" fillId="2" borderId="1" xfId="1" applyNumberFormat="1" applyFont="1" applyFill="1" applyBorder="1" applyAlignment="1">
      <alignment horizontal="center" vertical="center"/>
    </xf>
    <xf numFmtId="4" fontId="10" fillId="2" borderId="1" xfId="2" quotePrefix="1" applyNumberFormat="1" applyFont="1" applyFill="1" applyBorder="1" applyAlignment="1">
      <alignment horizontal="right" vertical="center"/>
    </xf>
    <xf numFmtId="4" fontId="10" fillId="2" borderId="1" xfId="2" applyNumberFormat="1" applyFont="1" applyFill="1" applyBorder="1" applyAlignment="1">
      <alignment horizontal="right" vertical="center"/>
    </xf>
    <xf numFmtId="49" fontId="10" fillId="2" borderId="34" xfId="1" applyNumberFormat="1" applyFont="1" applyFill="1" applyBorder="1" applyAlignment="1">
      <alignment horizontal="center" vertical="center"/>
    </xf>
    <xf numFmtId="49" fontId="10" fillId="2" borderId="34" xfId="4" applyNumberFormat="1" applyFont="1" applyFill="1" applyBorder="1" applyAlignment="1">
      <alignment horizontal="centerContinuous" vertical="center" wrapText="1"/>
    </xf>
    <xf numFmtId="165" fontId="10" fillId="2" borderId="34" xfId="1" applyNumberFormat="1" applyFont="1" applyFill="1" applyBorder="1" applyAlignment="1">
      <alignment horizontal="center" vertical="center"/>
    </xf>
    <xf numFmtId="4" fontId="10" fillId="2" borderId="34" xfId="2" applyNumberFormat="1" applyFont="1" applyFill="1" applyBorder="1" applyAlignment="1">
      <alignment horizontal="right" vertical="center"/>
    </xf>
    <xf numFmtId="49" fontId="10" fillId="2" borderId="34" xfId="2" applyNumberFormat="1" applyFont="1" applyFill="1" applyBorder="1" applyAlignment="1">
      <alignment horizontal="center" vertical="center" wrapText="1"/>
    </xf>
    <xf numFmtId="49" fontId="10" fillId="2" borderId="7" xfId="2" applyNumberFormat="1" applyFont="1" applyFill="1" applyBorder="1" applyAlignment="1">
      <alignment horizontal="center" vertical="center" wrapText="1"/>
    </xf>
    <xf numFmtId="49" fontId="10" fillId="2" borderId="1" xfId="2" applyNumberFormat="1" applyFont="1" applyFill="1" applyBorder="1" applyAlignment="1">
      <alignment horizontal="centerContinuous" vertical="center" wrapText="1"/>
    </xf>
    <xf numFmtId="165" fontId="10" fillId="2" borderId="1" xfId="3" applyNumberFormat="1" applyFont="1" applyFill="1" applyBorder="1" applyAlignment="1">
      <alignment horizontal="center" vertical="center"/>
    </xf>
    <xf numFmtId="4" fontId="10" fillId="2" borderId="1" xfId="2" applyNumberFormat="1" applyFont="1" applyFill="1" applyBorder="1" applyAlignment="1">
      <alignment vertical="center"/>
    </xf>
    <xf numFmtId="4" fontId="10" fillId="2" borderId="1" xfId="2" quotePrefix="1" applyNumberFormat="1" applyFont="1" applyFill="1" applyBorder="1" applyAlignment="1">
      <alignment vertical="center"/>
    </xf>
    <xf numFmtId="0" fontId="18" fillId="0" borderId="0" xfId="0" applyFont="1"/>
    <xf numFmtId="0" fontId="16" fillId="0" borderId="0" xfId="0" applyFont="1"/>
    <xf numFmtId="0" fontId="16" fillId="0" borderId="4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2" borderId="46" xfId="0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43" fontId="0" fillId="2" borderId="1" xfId="0" applyNumberFormat="1" applyFill="1" applyBorder="1"/>
    <xf numFmtId="43" fontId="0" fillId="2" borderId="1" xfId="7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3" fontId="0" fillId="2" borderId="1" xfId="0" applyNumberFormat="1" applyFill="1" applyBorder="1" applyAlignment="1">
      <alignment horizontal="right"/>
    </xf>
    <xf numFmtId="14" fontId="0" fillId="2" borderId="48" xfId="0" applyNumberFormat="1" applyFill="1" applyBorder="1" applyAlignment="1">
      <alignment horizontal="center"/>
    </xf>
    <xf numFmtId="43" fontId="0" fillId="2" borderId="48" xfId="0" applyNumberFormat="1" applyFill="1" applyBorder="1"/>
    <xf numFmtId="43" fontId="0" fillId="2" borderId="48" xfId="7" applyFont="1" applyFill="1" applyBorder="1" applyAlignment="1">
      <alignment horizontal="center"/>
    </xf>
    <xf numFmtId="0" fontId="0" fillId="2" borderId="49" xfId="0" applyFill="1" applyBorder="1" applyAlignment="1">
      <alignment horizontal="left"/>
    </xf>
    <xf numFmtId="0" fontId="0" fillId="0" borderId="50" xfId="0" applyBorder="1" applyAlignment="1">
      <alignment horizontal="left"/>
    </xf>
    <xf numFmtId="43" fontId="16" fillId="0" borderId="1" xfId="0" applyNumberFormat="1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6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43" fontId="0" fillId="0" borderId="1" xfId="0" applyNumberFormat="1" applyBorder="1"/>
    <xf numFmtId="43" fontId="0" fillId="0" borderId="1" xfId="7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43" fontId="16" fillId="0" borderId="52" xfId="7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52" xfId="0" applyNumberFormat="1" applyBorder="1"/>
    <xf numFmtId="49" fontId="0" fillId="0" borderId="46" xfId="0" applyNumberFormat="1" applyBorder="1" applyAlignment="1">
      <alignment horizontal="left"/>
    </xf>
    <xf numFmtId="43" fontId="16" fillId="0" borderId="42" xfId="0" applyNumberFormat="1" applyFont="1" applyBorder="1"/>
    <xf numFmtId="43" fontId="16" fillId="0" borderId="42" xfId="0" applyNumberFormat="1" applyFont="1" applyBorder="1" applyAlignment="1">
      <alignment horizontal="center"/>
    </xf>
    <xf numFmtId="0" fontId="16" fillId="0" borderId="46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66" fontId="16" fillId="0" borderId="1" xfId="0" applyNumberFormat="1" applyFont="1" applyBorder="1"/>
    <xf numFmtId="0" fontId="0" fillId="0" borderId="45" xfId="0" applyBorder="1"/>
    <xf numFmtId="43" fontId="16" fillId="0" borderId="1" xfId="0" applyNumberFormat="1" applyFont="1" applyBorder="1"/>
    <xf numFmtId="14" fontId="0" fillId="0" borderId="7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2" borderId="1" xfId="7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9" xfId="0" applyBorder="1" applyAlignment="1">
      <alignment vertical="center"/>
    </xf>
    <xf numFmtId="49" fontId="16" fillId="0" borderId="34" xfId="0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43" fontId="0" fillId="0" borderId="34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6" fontId="0" fillId="2" borderId="1" xfId="7" applyNumberFormat="1" applyFont="1" applyFill="1" applyBorder="1" applyAlignment="1">
      <alignment horizontal="right"/>
    </xf>
    <xf numFmtId="166" fontId="0" fillId="2" borderId="1" xfId="0" applyNumberFormat="1" applyFill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4" fontId="0" fillId="0" borderId="1" xfId="0" applyNumberFormat="1" applyBorder="1"/>
    <xf numFmtId="14" fontId="0" fillId="0" borderId="48" xfId="0" applyNumberFormat="1" applyBorder="1" applyAlignment="1">
      <alignment horizontal="center"/>
    </xf>
    <xf numFmtId="43" fontId="0" fillId="0" borderId="48" xfId="0" applyNumberFormat="1" applyBorder="1" applyAlignment="1">
      <alignment horizontal="center"/>
    </xf>
    <xf numFmtId="43" fontId="19" fillId="0" borderId="1" xfId="0" applyNumberFormat="1" applyFont="1" applyBorder="1" applyAlignment="1">
      <alignment horizontal="center"/>
    </xf>
    <xf numFmtId="49" fontId="10" fillId="2" borderId="56" xfId="1" applyNumberFormat="1" applyFont="1" applyFill="1" applyBorder="1" applyAlignment="1">
      <alignment horizontal="center" vertical="center"/>
    </xf>
    <xf numFmtId="49" fontId="10" fillId="2" borderId="56" xfId="4" applyNumberFormat="1" applyFont="1" applyFill="1" applyBorder="1" applyAlignment="1">
      <alignment horizontal="centerContinuous" vertical="center" wrapText="1"/>
    </xf>
    <xf numFmtId="165" fontId="10" fillId="2" borderId="56" xfId="1" applyNumberFormat="1" applyFont="1" applyFill="1" applyBorder="1" applyAlignment="1">
      <alignment horizontal="center" vertical="center"/>
    </xf>
    <xf numFmtId="4" fontId="10" fillId="2" borderId="56" xfId="2" quotePrefix="1" applyNumberFormat="1" applyFont="1" applyFill="1" applyBorder="1" applyAlignment="1">
      <alignment horizontal="right" vertical="center"/>
    </xf>
    <xf numFmtId="49" fontId="10" fillId="2" borderId="56" xfId="2" applyNumberFormat="1" applyFont="1" applyFill="1" applyBorder="1" applyAlignment="1">
      <alignment horizontal="center" vertical="center" wrapText="1"/>
    </xf>
    <xf numFmtId="49" fontId="10" fillId="2" borderId="57" xfId="1" applyNumberFormat="1" applyFont="1" applyFill="1" applyBorder="1" applyAlignment="1">
      <alignment horizontal="center" vertical="center"/>
    </xf>
    <xf numFmtId="165" fontId="10" fillId="2" borderId="57" xfId="1" applyNumberFormat="1" applyFont="1" applyFill="1" applyBorder="1" applyAlignment="1">
      <alignment horizontal="center" vertical="center"/>
    </xf>
    <xf numFmtId="4" fontId="10" fillId="2" borderId="57" xfId="2" quotePrefix="1" applyNumberFormat="1" applyFont="1" applyFill="1" applyBorder="1" applyAlignment="1">
      <alignment horizontal="right" vertical="center"/>
    </xf>
    <xf numFmtId="49" fontId="10" fillId="2" borderId="57" xfId="2" applyNumberFormat="1" applyFont="1" applyFill="1" applyBorder="1" applyAlignment="1">
      <alignment horizontal="center" vertical="center" wrapText="1"/>
    </xf>
    <xf numFmtId="49" fontId="10" fillId="2" borderId="1" xfId="2" applyNumberFormat="1" applyFont="1" applyFill="1" applyBorder="1" applyAlignment="1">
      <alignment horizontal="center" vertical="center" wrapText="1"/>
    </xf>
    <xf numFmtId="49" fontId="10" fillId="2" borderId="6" xfId="1" applyNumberFormat="1" applyFont="1" applyFill="1" applyBorder="1" applyAlignment="1">
      <alignment horizontal="center" vertical="center"/>
    </xf>
    <xf numFmtId="4" fontId="10" fillId="2" borderId="57" xfId="2" applyNumberFormat="1" applyFont="1" applyFill="1" applyBorder="1" applyAlignment="1">
      <alignment horizontal="right" vertical="center"/>
    </xf>
    <xf numFmtId="49" fontId="20" fillId="2" borderId="57" xfId="2" applyNumberFormat="1" applyFont="1" applyFill="1" applyBorder="1" applyAlignment="1">
      <alignment horizontal="center" vertical="center" wrapText="1"/>
    </xf>
    <xf numFmtId="49" fontId="10" fillId="2" borderId="56" xfId="2" applyNumberFormat="1" applyFont="1" applyFill="1" applyBorder="1" applyAlignment="1">
      <alignment horizontal="right" vertical="center" wrapText="1"/>
    </xf>
    <xf numFmtId="49" fontId="13" fillId="2" borderId="56" xfId="2" applyNumberFormat="1" applyFont="1" applyFill="1" applyBorder="1" applyAlignment="1">
      <alignment horizontal="center" vertical="center" wrapText="1"/>
    </xf>
    <xf numFmtId="49" fontId="10" fillId="2" borderId="56" xfId="2" applyNumberFormat="1" applyFont="1" applyFill="1" applyBorder="1" applyAlignment="1">
      <alignment horizontal="centerContinuous" vertical="center" wrapText="1"/>
    </xf>
    <xf numFmtId="165" fontId="10" fillId="2" borderId="56" xfId="3" applyNumberFormat="1" applyFont="1" applyFill="1" applyBorder="1" applyAlignment="1">
      <alignment horizontal="center" vertical="center"/>
    </xf>
    <xf numFmtId="4" fontId="10" fillId="2" borderId="57" xfId="2" applyNumberFormat="1" applyFont="1" applyFill="1" applyBorder="1" applyAlignment="1">
      <alignment vertical="center"/>
    </xf>
    <xf numFmtId="49" fontId="10" fillId="2" borderId="1" xfId="2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2" borderId="0" xfId="1" applyNumberFormat="1" applyFont="1" applyFill="1" applyAlignment="1">
      <alignment horizontal="left" vertical="center"/>
    </xf>
    <xf numFmtId="49" fontId="4" fillId="2" borderId="0" xfId="1" applyNumberFormat="1" applyFont="1" applyFill="1" applyAlignment="1">
      <alignment horizontal="left" vertical="center"/>
    </xf>
    <xf numFmtId="49" fontId="6" fillId="2" borderId="5" xfId="1" applyNumberFormat="1" applyFont="1" applyFill="1" applyBorder="1" applyAlignment="1">
      <alignment horizontal="left"/>
    </xf>
    <xf numFmtId="49" fontId="6" fillId="2" borderId="32" xfId="1" applyNumberFormat="1" applyFont="1" applyFill="1" applyBorder="1" applyAlignment="1">
      <alignment horizontal="left"/>
    </xf>
    <xf numFmtId="49" fontId="6" fillId="2" borderId="33" xfId="1" applyNumberFormat="1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3" xfId="0" applyBorder="1" applyAlignment="1">
      <alignment horizontal="left"/>
    </xf>
    <xf numFmtId="49" fontId="10" fillId="2" borderId="10" xfId="2" applyNumberFormat="1" applyFont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49" fontId="10" fillId="2" borderId="12" xfId="2" applyNumberFormat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49" fontId="10" fillId="2" borderId="18" xfId="2" applyNumberFormat="1" applyFont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49" fontId="10" fillId="2" borderId="30" xfId="2" applyNumberFormat="1" applyFont="1" applyFill="1" applyBorder="1" applyAlignment="1">
      <alignment horizontal="center" vertical="center" wrapText="1"/>
    </xf>
    <xf numFmtId="0" fontId="1" fillId="2" borderId="31" xfId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49" fontId="10" fillId="2" borderId="11" xfId="2" applyNumberFormat="1" applyFont="1" applyFill="1" applyBorder="1" applyAlignment="1">
      <alignment horizontal="center" vertical="center" wrapText="1"/>
    </xf>
    <xf numFmtId="49" fontId="10" fillId="2" borderId="6" xfId="1" applyNumberFormat="1" applyFont="1" applyFill="1" applyBorder="1" applyAlignment="1">
      <alignment horizontal="center" vertical="center" wrapText="1"/>
    </xf>
    <xf numFmtId="49" fontId="10" fillId="2" borderId="7" xfId="1" applyNumberFormat="1" applyFont="1" applyFill="1" applyBorder="1" applyAlignment="1">
      <alignment horizontal="center" vertical="center" wrapText="1"/>
    </xf>
    <xf numFmtId="49" fontId="10" fillId="2" borderId="13" xfId="2" applyNumberFormat="1" applyFont="1" applyFill="1" applyBorder="1" applyAlignment="1">
      <alignment horizontal="center" vertical="center" wrapText="1"/>
    </xf>
    <xf numFmtId="49" fontId="6" fillId="2" borderId="0" xfId="1" applyNumberFormat="1" applyFont="1" applyFill="1" applyAlignment="1">
      <alignment horizontal="left"/>
    </xf>
    <xf numFmtId="49" fontId="8" fillId="2" borderId="6" xfId="1" applyNumberFormat="1" applyFont="1" applyFill="1" applyBorder="1" applyAlignment="1">
      <alignment horizontal="center" vertical="center" wrapText="1"/>
    </xf>
    <xf numFmtId="49" fontId="8" fillId="2" borderId="7" xfId="1" applyNumberFormat="1" applyFont="1" applyFill="1" applyBorder="1" applyAlignment="1">
      <alignment horizontal="center" vertical="center" wrapText="1"/>
    </xf>
    <xf numFmtId="49" fontId="10" fillId="2" borderId="8" xfId="2" applyNumberFormat="1" applyFont="1" applyFill="1" applyBorder="1" applyAlignment="1">
      <alignment horizontal="center" vertical="center" wrapText="1"/>
    </xf>
    <xf numFmtId="49" fontId="10" fillId="2" borderId="9" xfId="2" applyNumberFormat="1" applyFont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 wrapText="1"/>
    </xf>
    <xf numFmtId="49" fontId="10" fillId="2" borderId="14" xfId="2" applyNumberFormat="1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10" fillId="2" borderId="2" xfId="2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10" fillId="2" borderId="29" xfId="2" applyNumberFormat="1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6" fillId="0" borderId="44" xfId="0" applyFont="1" applyBorder="1"/>
    <xf numFmtId="0" fontId="0" fillId="0" borderId="34" xfId="0" applyBorder="1"/>
    <xf numFmtId="0" fontId="0" fillId="0" borderId="45" xfId="0" applyBorder="1"/>
    <xf numFmtId="0" fontId="16" fillId="0" borderId="44" xfId="0" applyFont="1" applyBorder="1" applyAlignment="1">
      <alignment horizontal="left"/>
    </xf>
    <xf numFmtId="0" fontId="17" fillId="0" borderId="35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0" fillId="0" borderId="53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/>
    </xf>
    <xf numFmtId="49" fontId="16" fillId="0" borderId="7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7" xfId="0" applyBorder="1" applyAlignment="1">
      <alignment horizontal="center"/>
    </xf>
    <xf numFmtId="49" fontId="16" fillId="0" borderId="6" xfId="7" applyNumberFormat="1" applyFont="1" applyFill="1" applyBorder="1" applyAlignment="1">
      <alignment horizontal="center"/>
    </xf>
    <xf numFmtId="0" fontId="16" fillId="0" borderId="34" xfId="0" applyFont="1" applyBorder="1"/>
    <xf numFmtId="0" fontId="16" fillId="0" borderId="7" xfId="0" applyFont="1" applyBorder="1"/>
  </cellXfs>
  <cellStyles count="8">
    <cellStyle name="Comma" xfId="7" builtinId="3"/>
    <cellStyle name="Comma 2" xfId="2" xr:uid="{00000000-0005-0000-0000-000001000000}"/>
    <cellStyle name="Comma 2 2" xfId="4" xr:uid="{00000000-0005-0000-0000-000002000000}"/>
    <cellStyle name="Comma 2 3" xfId="6" xr:uid="{00000000-0005-0000-0000-000003000000}"/>
    <cellStyle name="Normal" xfId="0" builtinId="0"/>
    <cellStyle name="Normal 2" xfId="1" xr:uid="{00000000-0005-0000-0000-000005000000}"/>
    <cellStyle name="Normal 2 2" xfId="3" xr:uid="{00000000-0005-0000-0000-000006000000}"/>
    <cellStyle name="Normal 2 3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opLeftCell="A14" workbookViewId="0">
      <selection activeCell="N33" sqref="N33"/>
    </sheetView>
  </sheetViews>
  <sheetFormatPr defaultColWidth="9.109375" defaultRowHeight="14.4" x14ac:dyDescent="0.3"/>
  <cols>
    <col min="1" max="1" width="6" style="3" customWidth="1"/>
    <col min="2" max="2" width="6.6640625" style="3" customWidth="1"/>
    <col min="3" max="3" width="14.109375" style="3" customWidth="1"/>
    <col min="4" max="5" width="11.33203125" style="3" bestFit="1" customWidth="1"/>
    <col min="6" max="7" width="11.44140625" style="3" bestFit="1" customWidth="1"/>
    <col min="8" max="8" width="9.109375" style="3"/>
    <col min="9" max="9" width="6.5546875" style="3" customWidth="1"/>
    <col min="10" max="10" width="5.88671875" style="3" customWidth="1"/>
    <col min="11" max="11" width="41" style="3" customWidth="1"/>
    <col min="12" max="16384" width="9.109375" style="3"/>
  </cols>
  <sheetData>
    <row r="1" spans="1:11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11" ht="17.399999999999999" x14ac:dyDescent="0.3">
      <c r="A2" s="180" t="s">
        <v>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</row>
    <row r="3" spans="1:11" ht="17.399999999999999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3">
      <c r="A4" s="181" t="s">
        <v>73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</row>
    <row r="5" spans="1:11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5.6" x14ac:dyDescent="0.3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</row>
    <row r="7" spans="1:11" ht="25.5" customHeight="1" x14ac:dyDescent="0.3">
      <c r="A7" s="4" t="s">
        <v>2</v>
      </c>
      <c r="B7" s="4" t="s">
        <v>3</v>
      </c>
      <c r="C7" s="4" t="s">
        <v>4</v>
      </c>
      <c r="D7" s="5" t="s">
        <v>5</v>
      </c>
      <c r="E7" s="4" t="s">
        <v>6</v>
      </c>
      <c r="F7" s="6" t="s">
        <v>7</v>
      </c>
      <c r="G7" s="4" t="s">
        <v>8</v>
      </c>
      <c r="H7" s="4" t="s">
        <v>9</v>
      </c>
      <c r="I7" s="4" t="s">
        <v>61</v>
      </c>
      <c r="J7" s="205" t="s">
        <v>10</v>
      </c>
      <c r="K7" s="206"/>
    </row>
    <row r="8" spans="1:11" ht="25.5" customHeight="1" x14ac:dyDescent="0.3">
      <c r="A8" s="7" t="s">
        <v>11</v>
      </c>
      <c r="B8" s="7" t="s">
        <v>12</v>
      </c>
      <c r="C8" s="8" t="s">
        <v>74</v>
      </c>
      <c r="D8" s="22">
        <v>42925</v>
      </c>
      <c r="E8" s="22">
        <v>43290</v>
      </c>
      <c r="F8" s="10">
        <v>9248</v>
      </c>
      <c r="G8" s="11">
        <v>9907</v>
      </c>
      <c r="H8" s="24" t="s">
        <v>39</v>
      </c>
      <c r="I8" s="24" t="s">
        <v>75</v>
      </c>
      <c r="J8" s="207" t="s">
        <v>13</v>
      </c>
      <c r="K8" s="208"/>
    </row>
    <row r="9" spans="1:11" ht="25.5" customHeight="1" x14ac:dyDescent="0.3">
      <c r="A9" s="13" t="s">
        <v>14</v>
      </c>
      <c r="B9" s="13" t="s">
        <v>15</v>
      </c>
      <c r="C9" s="14" t="s">
        <v>76</v>
      </c>
      <c r="D9" s="22">
        <v>42925</v>
      </c>
      <c r="E9" s="9">
        <v>43290</v>
      </c>
      <c r="F9" s="15">
        <v>18380</v>
      </c>
      <c r="G9" s="16">
        <v>19689</v>
      </c>
      <c r="H9" s="12" t="s">
        <v>39</v>
      </c>
      <c r="I9" s="12" t="s">
        <v>75</v>
      </c>
      <c r="J9" s="187" t="s">
        <v>16</v>
      </c>
      <c r="K9" s="200"/>
    </row>
    <row r="10" spans="1:11" ht="25.5" customHeight="1" x14ac:dyDescent="0.3">
      <c r="A10" s="13" t="s">
        <v>17</v>
      </c>
      <c r="B10" s="13" t="s">
        <v>15</v>
      </c>
      <c r="C10" s="14" t="s">
        <v>77</v>
      </c>
      <c r="D10" s="9">
        <v>42915</v>
      </c>
      <c r="E10" s="9">
        <v>43280</v>
      </c>
      <c r="F10" s="15">
        <v>16764</v>
      </c>
      <c r="G10" s="16">
        <v>17992</v>
      </c>
      <c r="H10" s="12" t="s">
        <v>39</v>
      </c>
      <c r="I10" s="12" t="s">
        <v>64</v>
      </c>
      <c r="J10" s="187" t="s">
        <v>18</v>
      </c>
      <c r="K10" s="200"/>
    </row>
    <row r="11" spans="1:11" ht="25.5" customHeight="1" x14ac:dyDescent="0.3">
      <c r="A11" s="13" t="s">
        <v>19</v>
      </c>
      <c r="B11" s="13" t="s">
        <v>15</v>
      </c>
      <c r="C11" s="14" t="s">
        <v>78</v>
      </c>
      <c r="D11" s="9">
        <v>42876</v>
      </c>
      <c r="E11" s="9">
        <v>43241</v>
      </c>
      <c r="F11" s="15">
        <v>15576</v>
      </c>
      <c r="G11" s="16">
        <v>16717</v>
      </c>
      <c r="H11" s="12" t="s">
        <v>39</v>
      </c>
      <c r="I11" s="12" t="s">
        <v>64</v>
      </c>
      <c r="J11" s="187" t="s">
        <v>20</v>
      </c>
      <c r="K11" s="200"/>
    </row>
    <row r="12" spans="1:11" ht="25.5" customHeight="1" x14ac:dyDescent="0.3">
      <c r="A12" s="13" t="s">
        <v>21</v>
      </c>
      <c r="B12" s="13" t="s">
        <v>15</v>
      </c>
      <c r="C12" s="14" t="s">
        <v>79</v>
      </c>
      <c r="D12" s="9">
        <v>42916</v>
      </c>
      <c r="E12" s="9">
        <v>43281</v>
      </c>
      <c r="F12" s="15">
        <v>13837</v>
      </c>
      <c r="G12" s="16">
        <v>14850</v>
      </c>
      <c r="H12" s="12" t="s">
        <v>39</v>
      </c>
      <c r="I12" s="12" t="s">
        <v>64</v>
      </c>
      <c r="J12" s="187" t="s">
        <v>22</v>
      </c>
      <c r="K12" s="200"/>
    </row>
    <row r="13" spans="1:11" ht="25.5" customHeight="1" x14ac:dyDescent="0.3">
      <c r="A13" s="13" t="s">
        <v>23</v>
      </c>
      <c r="B13" s="13" t="s">
        <v>15</v>
      </c>
      <c r="C13" s="14" t="s">
        <v>80</v>
      </c>
      <c r="D13" s="9">
        <v>42925</v>
      </c>
      <c r="E13" s="9">
        <v>43290</v>
      </c>
      <c r="F13" s="15">
        <v>11407</v>
      </c>
      <c r="G13" s="16">
        <v>12219</v>
      </c>
      <c r="H13" s="12" t="s">
        <v>39</v>
      </c>
      <c r="I13" s="12" t="s">
        <v>75</v>
      </c>
      <c r="J13" s="187" t="s">
        <v>24</v>
      </c>
      <c r="K13" s="200"/>
    </row>
    <row r="14" spans="1:11" ht="35.25" customHeight="1" x14ac:dyDescent="0.3">
      <c r="A14" s="13" t="s">
        <v>25</v>
      </c>
      <c r="B14" s="13" t="s">
        <v>26</v>
      </c>
      <c r="C14" s="29" t="s">
        <v>81</v>
      </c>
      <c r="D14" s="9">
        <v>43178</v>
      </c>
      <c r="E14" s="9">
        <v>43543</v>
      </c>
      <c r="F14" s="16">
        <v>27520</v>
      </c>
      <c r="G14" s="16">
        <v>29446</v>
      </c>
      <c r="H14" s="12" t="s">
        <v>27</v>
      </c>
      <c r="I14" s="12" t="s">
        <v>62</v>
      </c>
      <c r="J14" s="187" t="s">
        <v>28</v>
      </c>
      <c r="K14" s="200"/>
    </row>
    <row r="15" spans="1:11" ht="25.5" customHeight="1" x14ac:dyDescent="0.3">
      <c r="A15" s="13" t="s">
        <v>29</v>
      </c>
      <c r="B15" s="13" t="s">
        <v>12</v>
      </c>
      <c r="C15" s="14" t="s">
        <v>82</v>
      </c>
      <c r="D15" s="9">
        <v>42844</v>
      </c>
      <c r="E15" s="9">
        <v>43209</v>
      </c>
      <c r="F15" s="15">
        <v>10636</v>
      </c>
      <c r="G15" s="15">
        <v>11415</v>
      </c>
      <c r="H15" s="12" t="s">
        <v>39</v>
      </c>
      <c r="I15" s="12" t="s">
        <v>64</v>
      </c>
      <c r="J15" s="187" t="s">
        <v>30</v>
      </c>
      <c r="K15" s="200"/>
    </row>
    <row r="16" spans="1:11" ht="25.5" customHeight="1" x14ac:dyDescent="0.3">
      <c r="A16" s="13" t="s">
        <v>31</v>
      </c>
      <c r="B16" s="13" t="s">
        <v>12</v>
      </c>
      <c r="C16" s="14" t="s">
        <v>83</v>
      </c>
      <c r="D16" s="9">
        <v>43180</v>
      </c>
      <c r="E16" s="9">
        <v>43545</v>
      </c>
      <c r="F16" s="15">
        <v>9622</v>
      </c>
      <c r="G16" s="15">
        <v>10276</v>
      </c>
      <c r="H16" s="12" t="s">
        <v>39</v>
      </c>
      <c r="I16" s="12" t="s">
        <v>84</v>
      </c>
      <c r="J16" s="187" t="s">
        <v>33</v>
      </c>
      <c r="K16" s="200"/>
    </row>
    <row r="17" spans="1:11" ht="25.5" customHeight="1" x14ac:dyDescent="0.3">
      <c r="A17" s="13" t="s">
        <v>34</v>
      </c>
      <c r="B17" s="13" t="s">
        <v>12</v>
      </c>
      <c r="C17" s="14" t="s">
        <v>85</v>
      </c>
      <c r="D17" s="9">
        <v>43003</v>
      </c>
      <c r="E17" s="9">
        <v>43368</v>
      </c>
      <c r="F17" s="15">
        <v>8965</v>
      </c>
      <c r="G17" s="15">
        <v>9604</v>
      </c>
      <c r="H17" s="12" t="s">
        <v>39</v>
      </c>
      <c r="I17" s="12" t="s">
        <v>75</v>
      </c>
      <c r="J17" s="187" t="s">
        <v>35</v>
      </c>
      <c r="K17" s="200"/>
    </row>
    <row r="18" spans="1:11" ht="25.5" customHeight="1" x14ac:dyDescent="0.3">
      <c r="A18" s="13" t="s">
        <v>36</v>
      </c>
      <c r="B18" s="13" t="s">
        <v>12</v>
      </c>
      <c r="C18" s="14" t="s">
        <v>86</v>
      </c>
      <c r="D18" s="9">
        <v>42891</v>
      </c>
      <c r="E18" s="9">
        <v>43256</v>
      </c>
      <c r="F18" s="15">
        <v>8007</v>
      </c>
      <c r="G18" s="15">
        <v>8593</v>
      </c>
      <c r="H18" s="12" t="s">
        <v>39</v>
      </c>
      <c r="I18" s="12" t="s">
        <v>64</v>
      </c>
      <c r="J18" s="187" t="s">
        <v>37</v>
      </c>
      <c r="K18" s="200"/>
    </row>
    <row r="19" spans="1:11" ht="25.5" customHeight="1" x14ac:dyDescent="0.3">
      <c r="A19" s="13" t="s">
        <v>38</v>
      </c>
      <c r="B19" s="13" t="s">
        <v>12</v>
      </c>
      <c r="C19" s="14" t="s">
        <v>63</v>
      </c>
      <c r="D19" s="9">
        <v>43181</v>
      </c>
      <c r="E19" s="9">
        <v>43546</v>
      </c>
      <c r="F19" s="15">
        <v>7692</v>
      </c>
      <c r="G19" s="15">
        <v>8215</v>
      </c>
      <c r="H19" s="12" t="s">
        <v>39</v>
      </c>
      <c r="I19" s="12" t="s">
        <v>84</v>
      </c>
      <c r="J19" s="187" t="s">
        <v>40</v>
      </c>
      <c r="K19" s="200"/>
    </row>
    <row r="20" spans="1:11" ht="25.5" customHeight="1" x14ac:dyDescent="0.3">
      <c r="A20" s="13" t="s">
        <v>65</v>
      </c>
      <c r="B20" s="13" t="s">
        <v>12</v>
      </c>
      <c r="C20" s="14" t="s">
        <v>101</v>
      </c>
      <c r="D20" s="9">
        <v>43166</v>
      </c>
      <c r="E20" s="9">
        <v>43531</v>
      </c>
      <c r="F20" s="15">
        <v>7122</v>
      </c>
      <c r="G20" s="15">
        <v>7606</v>
      </c>
      <c r="H20" s="12" t="s">
        <v>39</v>
      </c>
      <c r="I20" s="12" t="s">
        <v>84</v>
      </c>
      <c r="J20" s="187" t="s">
        <v>66</v>
      </c>
      <c r="K20" s="200"/>
    </row>
    <row r="21" spans="1:11" ht="25.5" customHeight="1" x14ac:dyDescent="0.3">
      <c r="A21" s="17" t="s">
        <v>87</v>
      </c>
      <c r="B21" s="17" t="s">
        <v>12</v>
      </c>
      <c r="C21" s="18" t="s">
        <v>88</v>
      </c>
      <c r="D21" s="19">
        <v>43145</v>
      </c>
      <c r="E21" s="19">
        <v>44241</v>
      </c>
      <c r="F21" s="20">
        <v>6636</v>
      </c>
      <c r="G21" s="20">
        <v>7929</v>
      </c>
      <c r="H21" s="21" t="s">
        <v>89</v>
      </c>
      <c r="I21" s="21" t="s">
        <v>90</v>
      </c>
      <c r="J21" s="189" t="s">
        <v>91</v>
      </c>
      <c r="K21" s="203"/>
    </row>
    <row r="22" spans="1:11" ht="24" customHeight="1" x14ac:dyDescent="0.35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</row>
    <row r="23" spans="1:11" ht="20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2" t="s">
        <v>67</v>
      </c>
    </row>
    <row r="24" spans="1:11" ht="24" customHeight="1" x14ac:dyDescent="0.35">
      <c r="A24" s="182" t="s">
        <v>41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</row>
    <row r="25" spans="1:11" ht="25.5" customHeight="1" x14ac:dyDescent="0.3">
      <c r="A25" s="6" t="s">
        <v>2</v>
      </c>
      <c r="B25" s="6" t="s">
        <v>3</v>
      </c>
      <c r="C25" s="4" t="s">
        <v>4</v>
      </c>
      <c r="D25" s="5" t="s">
        <v>5</v>
      </c>
      <c r="E25" s="6" t="s">
        <v>6</v>
      </c>
      <c r="F25" s="6" t="s">
        <v>7</v>
      </c>
      <c r="G25" s="6" t="s">
        <v>8</v>
      </c>
      <c r="H25" s="6" t="s">
        <v>9</v>
      </c>
      <c r="I25" s="6" t="s">
        <v>61</v>
      </c>
      <c r="J25" s="201" t="s">
        <v>10</v>
      </c>
      <c r="K25" s="202"/>
    </row>
    <row r="26" spans="1:11" ht="37.5" customHeight="1" x14ac:dyDescent="0.3">
      <c r="A26" s="7" t="s">
        <v>11</v>
      </c>
      <c r="B26" s="7" t="s">
        <v>26</v>
      </c>
      <c r="C26" s="30" t="s">
        <v>92</v>
      </c>
      <c r="D26" s="22">
        <v>43152</v>
      </c>
      <c r="E26" s="9">
        <f>D26+500</f>
        <v>43652</v>
      </c>
      <c r="F26" s="10">
        <v>43293</v>
      </c>
      <c r="G26" s="23">
        <v>47593</v>
      </c>
      <c r="H26" s="24" t="s">
        <v>42</v>
      </c>
      <c r="I26" s="24" t="s">
        <v>71</v>
      </c>
      <c r="J26" s="193" t="s">
        <v>107</v>
      </c>
      <c r="K26" s="194"/>
    </row>
    <row r="27" spans="1:11" ht="25.5" customHeight="1" x14ac:dyDescent="0.3">
      <c r="A27" s="13" t="s">
        <v>14</v>
      </c>
      <c r="B27" s="13" t="s">
        <v>15</v>
      </c>
      <c r="C27" s="14" t="s">
        <v>44</v>
      </c>
      <c r="D27" s="9">
        <v>41379</v>
      </c>
      <c r="E27" s="9">
        <v>43205</v>
      </c>
      <c r="F27" s="15">
        <v>100000</v>
      </c>
      <c r="G27" s="25">
        <v>156050.9</v>
      </c>
      <c r="H27" s="12" t="s">
        <v>32</v>
      </c>
      <c r="I27" s="12" t="s">
        <v>45</v>
      </c>
      <c r="J27" s="193" t="s">
        <v>93</v>
      </c>
      <c r="K27" s="195"/>
    </row>
    <row r="28" spans="1:11" ht="25.5" customHeight="1" x14ac:dyDescent="0.3">
      <c r="A28" s="13" t="s">
        <v>17</v>
      </c>
      <c r="B28" s="13" t="s">
        <v>15</v>
      </c>
      <c r="C28" s="14" t="s">
        <v>46</v>
      </c>
      <c r="D28" s="9">
        <v>41379</v>
      </c>
      <c r="E28" s="9">
        <v>43205</v>
      </c>
      <c r="F28" s="15">
        <v>100000</v>
      </c>
      <c r="G28" s="25">
        <v>156050.9</v>
      </c>
      <c r="H28" s="12" t="s">
        <v>32</v>
      </c>
      <c r="I28" s="12" t="s">
        <v>45</v>
      </c>
      <c r="J28" s="196"/>
      <c r="K28" s="197"/>
    </row>
    <row r="29" spans="1:11" ht="25.5" customHeight="1" x14ac:dyDescent="0.3">
      <c r="A29" s="13" t="s">
        <v>19</v>
      </c>
      <c r="B29" s="13" t="s">
        <v>15</v>
      </c>
      <c r="C29" s="14" t="s">
        <v>47</v>
      </c>
      <c r="D29" s="9">
        <v>41386</v>
      </c>
      <c r="E29" s="9">
        <v>43212</v>
      </c>
      <c r="F29" s="15">
        <v>100000</v>
      </c>
      <c r="G29" s="25">
        <v>156050.9</v>
      </c>
      <c r="H29" s="12" t="s">
        <v>32</v>
      </c>
      <c r="I29" s="12" t="s">
        <v>45</v>
      </c>
      <c r="J29" s="196"/>
      <c r="K29" s="197"/>
    </row>
    <row r="30" spans="1:11" ht="25.5" customHeight="1" x14ac:dyDescent="0.3">
      <c r="A30" s="13" t="s">
        <v>21</v>
      </c>
      <c r="B30" s="13"/>
      <c r="C30" s="14" t="s">
        <v>48</v>
      </c>
      <c r="D30" s="9">
        <v>41386</v>
      </c>
      <c r="E30" s="9">
        <v>43212</v>
      </c>
      <c r="F30" s="15">
        <v>100000</v>
      </c>
      <c r="G30" s="25">
        <v>156050.9</v>
      </c>
      <c r="H30" s="12" t="s">
        <v>32</v>
      </c>
      <c r="I30" s="12" t="s">
        <v>45</v>
      </c>
      <c r="J30" s="196"/>
      <c r="K30" s="197"/>
    </row>
    <row r="31" spans="1:11" ht="25.5" customHeight="1" x14ac:dyDescent="0.3">
      <c r="A31" s="13" t="s">
        <v>23</v>
      </c>
      <c r="B31" s="13"/>
      <c r="C31" s="14" t="s">
        <v>49</v>
      </c>
      <c r="D31" s="9">
        <v>41386</v>
      </c>
      <c r="E31" s="9">
        <v>43212</v>
      </c>
      <c r="F31" s="15">
        <v>100000</v>
      </c>
      <c r="G31" s="25">
        <v>156050.9</v>
      </c>
      <c r="H31" s="12" t="s">
        <v>32</v>
      </c>
      <c r="I31" s="12" t="s">
        <v>45</v>
      </c>
      <c r="J31" s="196"/>
      <c r="K31" s="197"/>
    </row>
    <row r="32" spans="1:11" ht="25.5" customHeight="1" x14ac:dyDescent="0.3">
      <c r="A32" s="13" t="s">
        <v>25</v>
      </c>
      <c r="B32" s="13" t="s">
        <v>15</v>
      </c>
      <c r="C32" s="14" t="s">
        <v>50</v>
      </c>
      <c r="D32" s="9">
        <v>41386</v>
      </c>
      <c r="E32" s="9">
        <v>43212</v>
      </c>
      <c r="F32" s="15">
        <v>100000</v>
      </c>
      <c r="G32" s="25">
        <v>156050.9</v>
      </c>
      <c r="H32" s="12" t="s">
        <v>32</v>
      </c>
      <c r="I32" s="12" t="s">
        <v>45</v>
      </c>
      <c r="J32" s="196"/>
      <c r="K32" s="197"/>
    </row>
    <row r="33" spans="1:11" ht="25.5" customHeight="1" x14ac:dyDescent="0.3">
      <c r="A33" s="13" t="s">
        <v>29</v>
      </c>
      <c r="B33" s="13" t="s">
        <v>15</v>
      </c>
      <c r="C33" s="14" t="s">
        <v>51</v>
      </c>
      <c r="D33" s="9">
        <v>41398</v>
      </c>
      <c r="E33" s="9">
        <v>43224</v>
      </c>
      <c r="F33" s="15">
        <v>160000</v>
      </c>
      <c r="G33" s="16">
        <v>249681</v>
      </c>
      <c r="H33" s="12" t="s">
        <v>32</v>
      </c>
      <c r="I33" s="12" t="s">
        <v>45</v>
      </c>
      <c r="J33" s="196"/>
      <c r="K33" s="197"/>
    </row>
    <row r="34" spans="1:11" ht="25.5" customHeight="1" x14ac:dyDescent="0.3">
      <c r="A34" s="13" t="s">
        <v>31</v>
      </c>
      <c r="B34" s="13" t="s">
        <v>15</v>
      </c>
      <c r="C34" s="14" t="s">
        <v>94</v>
      </c>
      <c r="D34" s="9">
        <v>43164</v>
      </c>
      <c r="E34" s="9">
        <v>43895</v>
      </c>
      <c r="F34" s="15">
        <v>50000</v>
      </c>
      <c r="G34" s="16">
        <v>57331</v>
      </c>
      <c r="H34" s="12" t="s">
        <v>95</v>
      </c>
      <c r="I34" s="12" t="s">
        <v>96</v>
      </c>
      <c r="J34" s="198"/>
      <c r="K34" s="199"/>
    </row>
    <row r="35" spans="1:11" ht="25.5" customHeight="1" x14ac:dyDescent="0.3">
      <c r="A35" s="13" t="s">
        <v>54</v>
      </c>
      <c r="B35" s="13" t="s">
        <v>15</v>
      </c>
      <c r="C35" s="14" t="s">
        <v>52</v>
      </c>
      <c r="D35" s="9">
        <v>42724</v>
      </c>
      <c r="E35" s="9">
        <f>D35+500</f>
        <v>43224</v>
      </c>
      <c r="F35" s="15">
        <v>35742</v>
      </c>
      <c r="G35" s="16">
        <v>39537</v>
      </c>
      <c r="H35" s="12" t="s">
        <v>42</v>
      </c>
      <c r="I35" s="12" t="s">
        <v>68</v>
      </c>
      <c r="J35" s="191" t="s">
        <v>53</v>
      </c>
      <c r="K35" s="192"/>
    </row>
    <row r="36" spans="1:11" ht="25.5" customHeight="1" x14ac:dyDescent="0.3">
      <c r="A36" s="13" t="s">
        <v>57</v>
      </c>
      <c r="B36" s="13" t="s">
        <v>15</v>
      </c>
      <c r="C36" s="14" t="s">
        <v>55</v>
      </c>
      <c r="D36" s="9">
        <v>42080</v>
      </c>
      <c r="E36" s="9">
        <v>43907</v>
      </c>
      <c r="F36" s="15">
        <v>28224</v>
      </c>
      <c r="G36" s="16">
        <v>44044</v>
      </c>
      <c r="H36" s="12" t="s">
        <v>32</v>
      </c>
      <c r="I36" s="12" t="s">
        <v>45</v>
      </c>
      <c r="J36" s="187" t="s">
        <v>56</v>
      </c>
      <c r="K36" s="188"/>
    </row>
    <row r="37" spans="1:11" ht="25.5" customHeight="1" x14ac:dyDescent="0.3">
      <c r="A37" s="13" t="s">
        <v>69</v>
      </c>
      <c r="B37" s="13" t="s">
        <v>15</v>
      </c>
      <c r="C37" s="14" t="s">
        <v>58</v>
      </c>
      <c r="D37" s="9">
        <v>42950</v>
      </c>
      <c r="E37" s="9">
        <f>D37+500</f>
        <v>43450</v>
      </c>
      <c r="F37" s="15">
        <v>31414</v>
      </c>
      <c r="G37" s="16">
        <v>34534</v>
      </c>
      <c r="H37" s="12" t="s">
        <v>42</v>
      </c>
      <c r="I37" s="12" t="s">
        <v>71</v>
      </c>
      <c r="J37" s="187" t="s">
        <v>59</v>
      </c>
      <c r="K37" s="188"/>
    </row>
    <row r="38" spans="1:11" ht="25.5" customHeight="1" x14ac:dyDescent="0.3">
      <c r="A38" s="13" t="s">
        <v>97</v>
      </c>
      <c r="B38" s="13" t="s">
        <v>15</v>
      </c>
      <c r="C38" s="14" t="s">
        <v>70</v>
      </c>
      <c r="D38" s="9">
        <v>42794</v>
      </c>
      <c r="E38" s="9">
        <f>D38+500</f>
        <v>43294</v>
      </c>
      <c r="F38" s="15">
        <v>28224</v>
      </c>
      <c r="G38" s="16">
        <v>31027</v>
      </c>
      <c r="H38" s="12" t="s">
        <v>42</v>
      </c>
      <c r="I38" s="12" t="s">
        <v>71</v>
      </c>
      <c r="J38" s="187" t="s">
        <v>72</v>
      </c>
      <c r="K38" s="188"/>
    </row>
    <row r="39" spans="1:11" ht="25.5" customHeight="1" x14ac:dyDescent="0.3">
      <c r="A39" s="17" t="s">
        <v>98</v>
      </c>
      <c r="B39" s="17" t="s">
        <v>15</v>
      </c>
      <c r="C39" s="18" t="s">
        <v>99</v>
      </c>
      <c r="D39" s="19">
        <v>43145</v>
      </c>
      <c r="E39" s="19">
        <f>D39+500</f>
        <v>43645</v>
      </c>
      <c r="F39" s="20">
        <v>28224</v>
      </c>
      <c r="G39" s="26">
        <v>31027</v>
      </c>
      <c r="H39" s="21" t="s">
        <v>42</v>
      </c>
      <c r="I39" s="21" t="s">
        <v>71</v>
      </c>
      <c r="J39" s="189" t="s">
        <v>100</v>
      </c>
      <c r="K39" s="190"/>
    </row>
  </sheetData>
  <mergeCells count="28">
    <mergeCell ref="J14:K14"/>
    <mergeCell ref="J9:K9"/>
    <mergeCell ref="J10:K10"/>
    <mergeCell ref="J11:K11"/>
    <mergeCell ref="J12:K12"/>
    <mergeCell ref="J13:K13"/>
    <mergeCell ref="A2:K2"/>
    <mergeCell ref="A4:K4"/>
    <mergeCell ref="A6:K6"/>
    <mergeCell ref="J7:K7"/>
    <mergeCell ref="J8:K8"/>
    <mergeCell ref="J15:K15"/>
    <mergeCell ref="J16:K16"/>
    <mergeCell ref="J17:K17"/>
    <mergeCell ref="J18:K18"/>
    <mergeCell ref="J19:K19"/>
    <mergeCell ref="J26:K26"/>
    <mergeCell ref="J27:K34"/>
    <mergeCell ref="J20:K20"/>
    <mergeCell ref="J25:K25"/>
    <mergeCell ref="J21:K21"/>
    <mergeCell ref="A22:K22"/>
    <mergeCell ref="A24:K24"/>
    <mergeCell ref="J37:K37"/>
    <mergeCell ref="J38:K38"/>
    <mergeCell ref="J39:K39"/>
    <mergeCell ref="J35:K35"/>
    <mergeCell ref="J36:K36"/>
  </mergeCells>
  <pageMargins left="0.70866141732283472" right="0.70866141732283472" top="0.74803149606299213" bottom="0.74803149606299213" header="0.31496062992125984" footer="0.31496062992125984"/>
  <pageSetup scale="90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topLeftCell="A25" workbookViewId="0">
      <selection activeCell="A36" sqref="A36:B36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4.1093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5.88671875" style="47" customWidth="1"/>
    <col min="11" max="11" width="35.6640625" style="47" customWidth="1"/>
    <col min="12" max="16384" width="9.109375" style="47"/>
  </cols>
  <sheetData>
    <row r="1" spans="1:15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15" ht="17.399999999999999" x14ac:dyDescent="0.3">
      <c r="A2" s="180" t="s">
        <v>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</row>
    <row r="3" spans="1:15" ht="17.399999999999999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5" x14ac:dyDescent="0.3">
      <c r="A4" s="181" t="s">
        <v>128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</row>
    <row r="5" spans="1:15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5" ht="15.6" x14ac:dyDescent="0.3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</row>
    <row r="7" spans="1:15" ht="25.5" customHeight="1" x14ac:dyDescent="0.3">
      <c r="A7" s="4" t="s">
        <v>2</v>
      </c>
      <c r="B7" s="4" t="s">
        <v>3</v>
      </c>
      <c r="C7" s="4" t="s">
        <v>4</v>
      </c>
      <c r="D7" s="5" t="s">
        <v>5</v>
      </c>
      <c r="E7" s="4" t="s">
        <v>6</v>
      </c>
      <c r="F7" s="6" t="s">
        <v>7</v>
      </c>
      <c r="G7" s="4" t="s">
        <v>8</v>
      </c>
      <c r="H7" s="4" t="s">
        <v>9</v>
      </c>
      <c r="I7" s="4" t="s">
        <v>61</v>
      </c>
      <c r="J7" s="205" t="s">
        <v>10</v>
      </c>
      <c r="K7" s="206"/>
    </row>
    <row r="8" spans="1:15" ht="25.5" customHeight="1" x14ac:dyDescent="0.3">
      <c r="A8" s="7" t="s">
        <v>11</v>
      </c>
      <c r="B8" s="7" t="s">
        <v>12</v>
      </c>
      <c r="C8" s="8" t="s">
        <v>74</v>
      </c>
      <c r="D8" s="22">
        <v>43655</v>
      </c>
      <c r="E8" s="22">
        <v>44021</v>
      </c>
      <c r="F8" s="10">
        <v>10580</v>
      </c>
      <c r="G8" s="11">
        <v>11426</v>
      </c>
      <c r="H8" s="24" t="s">
        <v>39</v>
      </c>
      <c r="I8" s="24" t="s">
        <v>104</v>
      </c>
      <c r="J8" s="207" t="s">
        <v>112</v>
      </c>
      <c r="K8" s="208"/>
    </row>
    <row r="9" spans="1:15" ht="25.5" customHeight="1" x14ac:dyDescent="0.3">
      <c r="A9" s="13" t="s">
        <v>14</v>
      </c>
      <c r="B9" s="13" t="s">
        <v>15</v>
      </c>
      <c r="C9" s="14" t="s">
        <v>76</v>
      </c>
      <c r="D9" s="9">
        <v>43655</v>
      </c>
      <c r="E9" s="9">
        <v>44021</v>
      </c>
      <c r="F9" s="15">
        <v>21027</v>
      </c>
      <c r="G9" s="16">
        <v>22709</v>
      </c>
      <c r="H9" s="12" t="s">
        <v>39</v>
      </c>
      <c r="I9" s="12" t="s">
        <v>104</v>
      </c>
      <c r="J9" s="187" t="s">
        <v>113</v>
      </c>
      <c r="K9" s="200"/>
    </row>
    <row r="10" spans="1:15" ht="25.5" customHeight="1" x14ac:dyDescent="0.3">
      <c r="A10" s="13" t="s">
        <v>17</v>
      </c>
      <c r="B10" s="13" t="s">
        <v>15</v>
      </c>
      <c r="C10" s="14" t="s">
        <v>77</v>
      </c>
      <c r="D10" s="9">
        <v>43645</v>
      </c>
      <c r="E10" s="9">
        <v>44011</v>
      </c>
      <c r="F10" s="15">
        <v>19215</v>
      </c>
      <c r="G10" s="16">
        <v>20752</v>
      </c>
      <c r="H10" s="12" t="s">
        <v>39</v>
      </c>
      <c r="I10" s="12" t="s">
        <v>104</v>
      </c>
      <c r="J10" s="187" t="s">
        <v>114</v>
      </c>
      <c r="K10" s="200"/>
    </row>
    <row r="11" spans="1:15" ht="25.5" customHeight="1" x14ac:dyDescent="0.3">
      <c r="A11" s="13" t="s">
        <v>19</v>
      </c>
      <c r="B11" s="13" t="s">
        <v>15</v>
      </c>
      <c r="C11" s="14" t="s">
        <v>78</v>
      </c>
      <c r="D11" s="9">
        <v>43606</v>
      </c>
      <c r="E11" s="9">
        <v>43972</v>
      </c>
      <c r="F11" s="15">
        <v>17853</v>
      </c>
      <c r="G11" s="16">
        <v>19281</v>
      </c>
      <c r="H11" s="12" t="s">
        <v>39</v>
      </c>
      <c r="I11" s="12" t="s">
        <v>104</v>
      </c>
      <c r="J11" s="187" t="s">
        <v>115</v>
      </c>
      <c r="K11" s="200"/>
    </row>
    <row r="12" spans="1:15" ht="25.5" customHeight="1" x14ac:dyDescent="0.3">
      <c r="A12" s="13" t="s">
        <v>21</v>
      </c>
      <c r="B12" s="13" t="s">
        <v>15</v>
      </c>
      <c r="C12" s="14" t="s">
        <v>79</v>
      </c>
      <c r="D12" s="9">
        <v>43646</v>
      </c>
      <c r="E12" s="9">
        <v>44012</v>
      </c>
      <c r="F12" s="15">
        <v>15859</v>
      </c>
      <c r="G12" s="16">
        <v>17126</v>
      </c>
      <c r="H12" s="12" t="s">
        <v>39</v>
      </c>
      <c r="I12" s="12" t="s">
        <v>104</v>
      </c>
      <c r="J12" s="187" t="s">
        <v>116</v>
      </c>
      <c r="K12" s="200"/>
      <c r="O12" s="47" t="s">
        <v>133</v>
      </c>
    </row>
    <row r="13" spans="1:15" ht="25.5" customHeight="1" x14ac:dyDescent="0.3">
      <c r="A13" s="13" t="s">
        <v>23</v>
      </c>
      <c r="B13" s="13" t="s">
        <v>15</v>
      </c>
      <c r="C13" s="14" t="s">
        <v>80</v>
      </c>
      <c r="D13" s="9">
        <v>43655</v>
      </c>
      <c r="E13" s="9">
        <v>44021</v>
      </c>
      <c r="F13" s="15">
        <v>13049</v>
      </c>
      <c r="G13" s="16">
        <v>14093</v>
      </c>
      <c r="H13" s="12" t="s">
        <v>39</v>
      </c>
      <c r="I13" s="12" t="s">
        <v>104</v>
      </c>
      <c r="J13" s="187" t="s">
        <v>117</v>
      </c>
      <c r="K13" s="200"/>
    </row>
    <row r="14" spans="1:15" ht="35.25" customHeight="1" x14ac:dyDescent="0.3">
      <c r="A14" s="13" t="s">
        <v>25</v>
      </c>
      <c r="B14" s="13" t="s">
        <v>26</v>
      </c>
      <c r="C14" s="29" t="s">
        <v>81</v>
      </c>
      <c r="D14" s="9">
        <v>43908</v>
      </c>
      <c r="E14" s="9">
        <v>44273</v>
      </c>
      <c r="F14" s="16">
        <v>31507</v>
      </c>
      <c r="G14" s="16">
        <v>0</v>
      </c>
      <c r="H14" s="12" t="s">
        <v>27</v>
      </c>
      <c r="I14" s="12" t="s">
        <v>144</v>
      </c>
      <c r="J14" s="187" t="s">
        <v>110</v>
      </c>
      <c r="K14" s="200"/>
    </row>
    <row r="15" spans="1:15" ht="25.5" customHeight="1" x14ac:dyDescent="0.3">
      <c r="A15" s="13" t="s">
        <v>29</v>
      </c>
      <c r="B15" s="13" t="s">
        <v>12</v>
      </c>
      <c r="C15" s="14" t="s">
        <v>82</v>
      </c>
      <c r="D15" s="9">
        <v>43574</v>
      </c>
      <c r="E15" s="9">
        <v>43940</v>
      </c>
      <c r="F15" s="15">
        <v>12191</v>
      </c>
      <c r="G15" s="15">
        <v>13166</v>
      </c>
      <c r="H15" s="12" t="s">
        <v>39</v>
      </c>
      <c r="I15" s="12" t="s">
        <v>104</v>
      </c>
      <c r="J15" s="187" t="s">
        <v>118</v>
      </c>
      <c r="K15" s="200"/>
    </row>
    <row r="16" spans="1:15" ht="25.5" customHeight="1" x14ac:dyDescent="0.3">
      <c r="A16" s="13" t="s">
        <v>31</v>
      </c>
      <c r="B16" s="13" t="s">
        <v>12</v>
      </c>
      <c r="C16" s="14" t="s">
        <v>83</v>
      </c>
      <c r="D16" s="9">
        <v>43911</v>
      </c>
      <c r="E16" s="9">
        <v>44276</v>
      </c>
      <c r="F16" s="15">
        <v>11098</v>
      </c>
      <c r="G16" s="15">
        <v>11958</v>
      </c>
      <c r="H16" s="12" t="s">
        <v>39</v>
      </c>
      <c r="I16" s="12" t="s">
        <v>127</v>
      </c>
      <c r="J16" s="187" t="s">
        <v>119</v>
      </c>
      <c r="K16" s="200"/>
    </row>
    <row r="17" spans="1:11" ht="25.5" customHeight="1" x14ac:dyDescent="0.3">
      <c r="A17" s="13" t="s">
        <v>34</v>
      </c>
      <c r="B17" s="13" t="s">
        <v>12</v>
      </c>
      <c r="C17" s="14" t="s">
        <v>85</v>
      </c>
      <c r="D17" s="9">
        <v>43733</v>
      </c>
      <c r="E17" s="9">
        <v>44099</v>
      </c>
      <c r="F17" s="15">
        <v>10372</v>
      </c>
      <c r="G17" s="15">
        <v>11175</v>
      </c>
      <c r="H17" s="12" t="s">
        <v>39</v>
      </c>
      <c r="I17" s="12" t="s">
        <v>127</v>
      </c>
      <c r="J17" s="187" t="s">
        <v>120</v>
      </c>
      <c r="K17" s="200"/>
    </row>
    <row r="18" spans="1:11" ht="25.5" customHeight="1" x14ac:dyDescent="0.3">
      <c r="A18" s="13" t="s">
        <v>36</v>
      </c>
      <c r="B18" s="13" t="s">
        <v>12</v>
      </c>
      <c r="C18" s="14" t="s">
        <v>86</v>
      </c>
      <c r="D18" s="9">
        <v>43621</v>
      </c>
      <c r="E18" s="9">
        <v>43987</v>
      </c>
      <c r="F18" s="15">
        <v>9177</v>
      </c>
      <c r="G18" s="15">
        <v>9911</v>
      </c>
      <c r="H18" s="12" t="s">
        <v>39</v>
      </c>
      <c r="I18" s="12" t="s">
        <v>104</v>
      </c>
      <c r="J18" s="187" t="s">
        <v>121</v>
      </c>
      <c r="K18" s="200"/>
    </row>
    <row r="19" spans="1:11" ht="25.5" customHeight="1" x14ac:dyDescent="0.3">
      <c r="A19" s="13" t="s">
        <v>38</v>
      </c>
      <c r="B19" s="13" t="s">
        <v>12</v>
      </c>
      <c r="C19" s="14" t="s">
        <v>63</v>
      </c>
      <c r="D19" s="9">
        <v>43912</v>
      </c>
      <c r="E19" s="9">
        <v>44277</v>
      </c>
      <c r="F19" s="15">
        <v>8872</v>
      </c>
      <c r="G19" s="15">
        <v>9559</v>
      </c>
      <c r="H19" s="12" t="s">
        <v>39</v>
      </c>
      <c r="I19" s="12" t="s">
        <v>127</v>
      </c>
      <c r="J19" s="187" t="s">
        <v>122</v>
      </c>
      <c r="K19" s="200"/>
    </row>
    <row r="20" spans="1:11" ht="25.5" customHeight="1" x14ac:dyDescent="0.3">
      <c r="A20" s="13" t="s">
        <v>65</v>
      </c>
      <c r="B20" s="13" t="s">
        <v>12</v>
      </c>
      <c r="C20" s="14" t="s">
        <v>101</v>
      </c>
      <c r="D20" s="9">
        <v>43897</v>
      </c>
      <c r="E20" s="9">
        <v>44262</v>
      </c>
      <c r="F20" s="15">
        <v>8214</v>
      </c>
      <c r="G20" s="15">
        <v>8850</v>
      </c>
      <c r="H20" s="12" t="s">
        <v>39</v>
      </c>
      <c r="I20" s="12" t="s">
        <v>127</v>
      </c>
      <c r="J20" s="187" t="s">
        <v>123</v>
      </c>
      <c r="K20" s="200"/>
    </row>
    <row r="21" spans="1:11" ht="25.5" customHeight="1" x14ac:dyDescent="0.3">
      <c r="A21" s="13" t="s">
        <v>87</v>
      </c>
      <c r="B21" s="13" t="s">
        <v>12</v>
      </c>
      <c r="C21" s="14" t="s">
        <v>88</v>
      </c>
      <c r="D21" s="9">
        <v>43145</v>
      </c>
      <c r="E21" s="9">
        <v>44241</v>
      </c>
      <c r="F21" s="15">
        <v>6636</v>
      </c>
      <c r="G21" s="15">
        <v>7929</v>
      </c>
      <c r="H21" s="12" t="s">
        <v>89</v>
      </c>
      <c r="I21" s="12" t="s">
        <v>90</v>
      </c>
      <c r="J21" s="187" t="s">
        <v>124</v>
      </c>
      <c r="K21" s="200"/>
    </row>
    <row r="22" spans="1:11" ht="25.5" customHeight="1" x14ac:dyDescent="0.3">
      <c r="A22" s="17" t="s">
        <v>102</v>
      </c>
      <c r="B22" s="17" t="s">
        <v>12</v>
      </c>
      <c r="C22" s="18" t="s">
        <v>103</v>
      </c>
      <c r="D22" s="19">
        <v>43876</v>
      </c>
      <c r="E22" s="19">
        <v>44242</v>
      </c>
      <c r="F22" s="20">
        <v>7167</v>
      </c>
      <c r="G22" s="20">
        <v>7722</v>
      </c>
      <c r="H22" s="21" t="s">
        <v>39</v>
      </c>
      <c r="I22" s="21" t="s">
        <v>127</v>
      </c>
      <c r="J22" s="189" t="s">
        <v>125</v>
      </c>
      <c r="K22" s="203"/>
    </row>
    <row r="23" spans="1:11" ht="25.5" customHeight="1" x14ac:dyDescent="0.3">
      <c r="A23" s="17" t="s">
        <v>139</v>
      </c>
      <c r="B23" s="17" t="s">
        <v>12</v>
      </c>
      <c r="C23" s="18" t="s">
        <v>140</v>
      </c>
      <c r="D23" s="19">
        <v>43901</v>
      </c>
      <c r="E23" s="19">
        <v>44631</v>
      </c>
      <c r="F23" s="20">
        <v>6636</v>
      </c>
      <c r="G23" s="20">
        <v>7665</v>
      </c>
      <c r="H23" s="21" t="s">
        <v>95</v>
      </c>
      <c r="I23" s="21" t="s">
        <v>141</v>
      </c>
      <c r="J23" s="189" t="s">
        <v>142</v>
      </c>
      <c r="K23" s="203"/>
    </row>
    <row r="24" spans="1:11" ht="24" customHeight="1" x14ac:dyDescent="0.35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</row>
    <row r="25" spans="1:11" ht="20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2" t="s">
        <v>67</v>
      </c>
    </row>
    <row r="26" spans="1:11" ht="24" customHeight="1" x14ac:dyDescent="0.35">
      <c r="A26" s="182" t="s">
        <v>41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</row>
    <row r="27" spans="1:11" ht="25.5" customHeight="1" x14ac:dyDescent="0.3">
      <c r="A27" s="6" t="s">
        <v>2</v>
      </c>
      <c r="B27" s="6" t="s">
        <v>3</v>
      </c>
      <c r="C27" s="4" t="s">
        <v>4</v>
      </c>
      <c r="D27" s="5" t="s">
        <v>5</v>
      </c>
      <c r="E27" s="6" t="s">
        <v>6</v>
      </c>
      <c r="F27" s="6" t="s">
        <v>7</v>
      </c>
      <c r="G27" s="6" t="s">
        <v>8</v>
      </c>
      <c r="H27" s="6" t="s">
        <v>9</v>
      </c>
      <c r="I27" s="6" t="s">
        <v>61</v>
      </c>
      <c r="J27" s="201" t="s">
        <v>10</v>
      </c>
      <c r="K27" s="202"/>
    </row>
    <row r="28" spans="1:11" ht="35.25" customHeight="1" x14ac:dyDescent="0.3">
      <c r="A28" s="7" t="s">
        <v>11</v>
      </c>
      <c r="B28" s="7" t="s">
        <v>26</v>
      </c>
      <c r="C28" s="30" t="s">
        <v>92</v>
      </c>
      <c r="D28" s="22">
        <v>43652</v>
      </c>
      <c r="E28" s="9">
        <f>D28+500</f>
        <v>44152</v>
      </c>
      <c r="F28" s="10">
        <v>47593</v>
      </c>
      <c r="G28" s="23">
        <v>52320</v>
      </c>
      <c r="H28" s="24" t="s">
        <v>42</v>
      </c>
      <c r="I28" s="24" t="s">
        <v>71</v>
      </c>
      <c r="J28" s="207" t="s">
        <v>43</v>
      </c>
      <c r="K28" s="209"/>
    </row>
    <row r="29" spans="1:11" ht="25.5" customHeight="1" x14ac:dyDescent="0.3">
      <c r="A29" s="37" t="s">
        <v>106</v>
      </c>
      <c r="B29" s="43" t="s">
        <v>15</v>
      </c>
      <c r="C29" s="42" t="s">
        <v>44</v>
      </c>
      <c r="D29" s="32">
        <v>43205</v>
      </c>
      <c r="E29" s="35">
        <v>45031</v>
      </c>
      <c r="F29" s="41">
        <v>156051</v>
      </c>
      <c r="G29" s="45">
        <v>219695</v>
      </c>
      <c r="H29" s="34" t="s">
        <v>32</v>
      </c>
      <c r="I29" s="38" t="s">
        <v>96</v>
      </c>
      <c r="J29" s="39" t="s">
        <v>108</v>
      </c>
      <c r="K29" s="48" t="s">
        <v>129</v>
      </c>
    </row>
    <row r="30" spans="1:11" ht="25.5" customHeight="1" x14ac:dyDescent="0.3">
      <c r="A30" s="13" t="s">
        <v>14</v>
      </c>
      <c r="B30" s="13" t="s">
        <v>15</v>
      </c>
      <c r="C30" s="14" t="s">
        <v>46</v>
      </c>
      <c r="D30" s="9">
        <v>43205</v>
      </c>
      <c r="E30" s="9">
        <v>45031</v>
      </c>
      <c r="F30" s="15">
        <v>156051</v>
      </c>
      <c r="G30" s="25">
        <v>219695</v>
      </c>
      <c r="H30" s="12" t="s">
        <v>32</v>
      </c>
      <c r="I30" s="12" t="s">
        <v>96</v>
      </c>
      <c r="J30" s="210" t="s">
        <v>93</v>
      </c>
      <c r="K30" s="211"/>
    </row>
    <row r="31" spans="1:11" ht="25.5" customHeight="1" x14ac:dyDescent="0.3">
      <c r="A31" s="13" t="s">
        <v>17</v>
      </c>
      <c r="B31" s="13" t="s">
        <v>15</v>
      </c>
      <c r="C31" s="14" t="s">
        <v>47</v>
      </c>
      <c r="D31" s="9">
        <v>43212</v>
      </c>
      <c r="E31" s="9">
        <v>45038</v>
      </c>
      <c r="F31" s="15">
        <v>156051</v>
      </c>
      <c r="G31" s="25">
        <v>219695</v>
      </c>
      <c r="H31" s="12" t="s">
        <v>32</v>
      </c>
      <c r="I31" s="12" t="s">
        <v>96</v>
      </c>
      <c r="J31" s="212"/>
      <c r="K31" s="213"/>
    </row>
    <row r="32" spans="1:11" ht="25.5" customHeight="1" x14ac:dyDescent="0.3">
      <c r="A32" s="13" t="s">
        <v>19</v>
      </c>
      <c r="B32" s="13"/>
      <c r="C32" s="14" t="s">
        <v>48</v>
      </c>
      <c r="D32" s="9">
        <v>43212</v>
      </c>
      <c r="E32" s="9">
        <v>45038</v>
      </c>
      <c r="F32" s="15">
        <v>156051</v>
      </c>
      <c r="G32" s="25">
        <v>219695</v>
      </c>
      <c r="H32" s="12" t="s">
        <v>32</v>
      </c>
      <c r="I32" s="12" t="s">
        <v>96</v>
      </c>
      <c r="J32" s="212"/>
      <c r="K32" s="213"/>
    </row>
    <row r="33" spans="1:11" ht="25.5" customHeight="1" x14ac:dyDescent="0.3">
      <c r="A33" s="13" t="s">
        <v>21</v>
      </c>
      <c r="B33" s="13"/>
      <c r="C33" s="14" t="s">
        <v>49</v>
      </c>
      <c r="D33" s="9">
        <v>43212</v>
      </c>
      <c r="E33" s="9">
        <v>45038</v>
      </c>
      <c r="F33" s="15">
        <v>156051</v>
      </c>
      <c r="G33" s="25">
        <v>219695</v>
      </c>
      <c r="H33" s="12" t="s">
        <v>32</v>
      </c>
      <c r="I33" s="12" t="s">
        <v>96</v>
      </c>
      <c r="J33" s="212"/>
      <c r="K33" s="213"/>
    </row>
    <row r="34" spans="1:11" ht="25.5" customHeight="1" x14ac:dyDescent="0.3">
      <c r="A34" s="13" t="s">
        <v>23</v>
      </c>
      <c r="B34" s="13" t="s">
        <v>15</v>
      </c>
      <c r="C34" s="14" t="s">
        <v>50</v>
      </c>
      <c r="D34" s="9">
        <v>43212</v>
      </c>
      <c r="E34" s="9">
        <v>45038</v>
      </c>
      <c r="F34" s="15">
        <v>156051</v>
      </c>
      <c r="G34" s="25">
        <v>219695</v>
      </c>
      <c r="H34" s="12" t="s">
        <v>32</v>
      </c>
      <c r="I34" s="12" t="s">
        <v>96</v>
      </c>
      <c r="J34" s="214"/>
      <c r="K34" s="215"/>
    </row>
    <row r="35" spans="1:11" ht="25.5" customHeight="1" x14ac:dyDescent="0.3">
      <c r="A35" s="43" t="s">
        <v>106</v>
      </c>
      <c r="B35" s="37" t="s">
        <v>15</v>
      </c>
      <c r="C35" s="31" t="s">
        <v>51</v>
      </c>
      <c r="D35" s="35">
        <v>41398</v>
      </c>
      <c r="E35" s="32">
        <v>43224</v>
      </c>
      <c r="F35" s="36">
        <v>160000</v>
      </c>
      <c r="G35" s="33">
        <v>249681</v>
      </c>
      <c r="H35" s="38" t="s">
        <v>32</v>
      </c>
      <c r="I35" s="34" t="s">
        <v>45</v>
      </c>
      <c r="J35" s="44" t="s">
        <v>108</v>
      </c>
      <c r="K35" s="49" t="s">
        <v>111</v>
      </c>
    </row>
    <row r="36" spans="1:11" ht="25.5" customHeight="1" x14ac:dyDescent="0.3">
      <c r="A36" s="37" t="s">
        <v>106</v>
      </c>
      <c r="B36" s="43" t="s">
        <v>15</v>
      </c>
      <c r="C36" s="42" t="s">
        <v>94</v>
      </c>
      <c r="D36" s="32">
        <v>43164</v>
      </c>
      <c r="E36" s="35">
        <v>43895</v>
      </c>
      <c r="F36" s="41">
        <v>50000</v>
      </c>
      <c r="G36" s="40">
        <v>57331</v>
      </c>
      <c r="H36" s="34" t="s">
        <v>95</v>
      </c>
      <c r="I36" s="38" t="s">
        <v>96</v>
      </c>
      <c r="J36" s="39" t="s">
        <v>108</v>
      </c>
      <c r="K36" s="48" t="s">
        <v>109</v>
      </c>
    </row>
    <row r="37" spans="1:11" ht="25.5" customHeight="1" x14ac:dyDescent="0.3">
      <c r="A37" s="13" t="s">
        <v>25</v>
      </c>
      <c r="B37" s="13" t="s">
        <v>15</v>
      </c>
      <c r="C37" s="14" t="s">
        <v>130</v>
      </c>
      <c r="D37" s="9">
        <v>43860</v>
      </c>
      <c r="E37" s="9">
        <v>44956</v>
      </c>
      <c r="F37" s="15">
        <v>50000</v>
      </c>
      <c r="G37" s="25">
        <v>60940</v>
      </c>
      <c r="H37" s="12" t="s">
        <v>89</v>
      </c>
      <c r="I37" s="12" t="s">
        <v>132</v>
      </c>
      <c r="J37" s="46"/>
      <c r="K37" s="50" t="s">
        <v>93</v>
      </c>
    </row>
    <row r="38" spans="1:11" ht="25.5" customHeight="1" x14ac:dyDescent="0.3">
      <c r="A38" s="13" t="s">
        <v>29</v>
      </c>
      <c r="B38" s="13" t="s">
        <v>15</v>
      </c>
      <c r="C38" s="14" t="s">
        <v>131</v>
      </c>
      <c r="D38" s="9">
        <v>43860</v>
      </c>
      <c r="E38" s="9">
        <v>44956</v>
      </c>
      <c r="F38" s="15">
        <v>50000</v>
      </c>
      <c r="G38" s="25">
        <v>60940</v>
      </c>
      <c r="H38" s="12" t="s">
        <v>89</v>
      </c>
      <c r="I38" s="12" t="s">
        <v>132</v>
      </c>
      <c r="J38" s="46"/>
      <c r="K38" s="50" t="s">
        <v>93</v>
      </c>
    </row>
    <row r="39" spans="1:11" ht="25.5" customHeight="1" x14ac:dyDescent="0.3">
      <c r="A39" s="13" t="s">
        <v>31</v>
      </c>
      <c r="B39" s="13" t="s">
        <v>15</v>
      </c>
      <c r="C39" s="14" t="s">
        <v>52</v>
      </c>
      <c r="D39" s="9">
        <v>43724</v>
      </c>
      <c r="E39" s="9">
        <v>44224</v>
      </c>
      <c r="F39" s="15">
        <v>43464</v>
      </c>
      <c r="G39" s="16">
        <v>47632</v>
      </c>
      <c r="H39" s="12" t="s">
        <v>42</v>
      </c>
      <c r="I39" s="12" t="s">
        <v>62</v>
      </c>
      <c r="J39" s="187" t="s">
        <v>53</v>
      </c>
      <c r="K39" s="188"/>
    </row>
    <row r="40" spans="1:11" ht="25.5" customHeight="1" x14ac:dyDescent="0.3">
      <c r="A40" s="13" t="s">
        <v>54</v>
      </c>
      <c r="B40" s="13" t="s">
        <v>15</v>
      </c>
      <c r="C40" s="14" t="s">
        <v>55</v>
      </c>
      <c r="D40" s="9">
        <v>43907</v>
      </c>
      <c r="E40" s="9">
        <v>45733</v>
      </c>
      <c r="F40" s="15">
        <v>44044</v>
      </c>
      <c r="G40" s="16">
        <v>0</v>
      </c>
      <c r="H40" s="12" t="s">
        <v>32</v>
      </c>
      <c r="I40" s="12" t="s">
        <v>96</v>
      </c>
      <c r="J40" s="187" t="s">
        <v>56</v>
      </c>
      <c r="K40" s="188"/>
    </row>
    <row r="41" spans="1:11" ht="25.5" customHeight="1" x14ac:dyDescent="0.3">
      <c r="A41" s="13" t="s">
        <v>57</v>
      </c>
      <c r="B41" s="13" t="s">
        <v>15</v>
      </c>
      <c r="C41" s="14" t="s">
        <v>58</v>
      </c>
      <c r="D41" s="9">
        <v>43450</v>
      </c>
      <c r="E41" s="9">
        <f>D41+500</f>
        <v>43950</v>
      </c>
      <c r="F41" s="15">
        <v>34372</v>
      </c>
      <c r="G41" s="16">
        <v>37786</v>
      </c>
      <c r="H41" s="12" t="s">
        <v>42</v>
      </c>
      <c r="I41" s="12" t="s">
        <v>71</v>
      </c>
      <c r="J41" s="187" t="s">
        <v>59</v>
      </c>
      <c r="K41" s="188"/>
    </row>
    <row r="42" spans="1:11" ht="25.5" customHeight="1" x14ac:dyDescent="0.3">
      <c r="A42" s="13" t="s">
        <v>69</v>
      </c>
      <c r="B42" s="13" t="s">
        <v>15</v>
      </c>
      <c r="C42" s="14" t="s">
        <v>70</v>
      </c>
      <c r="D42" s="9">
        <v>43794</v>
      </c>
      <c r="E42" s="9">
        <f>D42+500</f>
        <v>44294</v>
      </c>
      <c r="F42" s="15">
        <v>34108</v>
      </c>
      <c r="G42" s="16">
        <v>37379</v>
      </c>
      <c r="H42" s="12" t="s">
        <v>42</v>
      </c>
      <c r="I42" s="12" t="s">
        <v>62</v>
      </c>
      <c r="J42" s="187" t="s">
        <v>72</v>
      </c>
      <c r="K42" s="188"/>
    </row>
    <row r="43" spans="1:11" ht="25.5" customHeight="1" x14ac:dyDescent="0.3">
      <c r="A43" s="13" t="s">
        <v>97</v>
      </c>
      <c r="B43" s="13" t="s">
        <v>15</v>
      </c>
      <c r="C43" s="14" t="s">
        <v>99</v>
      </c>
      <c r="D43" s="9">
        <v>43645</v>
      </c>
      <c r="E43" s="9">
        <f>D43+500</f>
        <v>44145</v>
      </c>
      <c r="F43" s="15">
        <v>31027</v>
      </c>
      <c r="G43" s="16">
        <v>34108</v>
      </c>
      <c r="H43" s="12" t="s">
        <v>42</v>
      </c>
      <c r="I43" s="12" t="s">
        <v>71</v>
      </c>
      <c r="J43" s="187" t="s">
        <v>100</v>
      </c>
      <c r="K43" s="188"/>
    </row>
    <row r="44" spans="1:11" ht="25.5" customHeight="1" x14ac:dyDescent="0.3">
      <c r="A44" s="13" t="s">
        <v>98</v>
      </c>
      <c r="B44" s="13" t="s">
        <v>15</v>
      </c>
      <c r="C44" s="14" t="s">
        <v>105</v>
      </c>
      <c r="D44" s="9">
        <v>43511</v>
      </c>
      <c r="E44" s="9">
        <f>D44+500</f>
        <v>44011</v>
      </c>
      <c r="F44" s="15">
        <v>28224</v>
      </c>
      <c r="G44" s="16">
        <v>31027</v>
      </c>
      <c r="H44" s="12" t="s">
        <v>42</v>
      </c>
      <c r="I44" s="12" t="s">
        <v>71</v>
      </c>
      <c r="J44" s="187" t="s">
        <v>126</v>
      </c>
      <c r="K44" s="188"/>
    </row>
    <row r="45" spans="1:11" ht="25.5" customHeight="1" x14ac:dyDescent="0.3">
      <c r="A45" s="17" t="s">
        <v>134</v>
      </c>
      <c r="B45" s="17" t="s">
        <v>15</v>
      </c>
      <c r="C45" s="18" t="s">
        <v>135</v>
      </c>
      <c r="D45" s="19">
        <v>43899</v>
      </c>
      <c r="E45" s="19">
        <f>D45+500</f>
        <v>44399</v>
      </c>
      <c r="F45" s="20">
        <v>28224</v>
      </c>
      <c r="G45" s="26">
        <v>30930</v>
      </c>
      <c r="H45" s="21" t="s">
        <v>42</v>
      </c>
      <c r="I45" s="21" t="s">
        <v>62</v>
      </c>
      <c r="J45" s="189" t="s">
        <v>136</v>
      </c>
      <c r="K45" s="190"/>
    </row>
  </sheetData>
  <mergeCells count="32">
    <mergeCell ref="J41:K41"/>
    <mergeCell ref="J42:K42"/>
    <mergeCell ref="J45:K45"/>
    <mergeCell ref="A24:K24"/>
    <mergeCell ref="A26:K26"/>
    <mergeCell ref="J27:K27"/>
    <mergeCell ref="J28:K28"/>
    <mergeCell ref="J39:K39"/>
    <mergeCell ref="J30:K34"/>
    <mergeCell ref="J44:K44"/>
    <mergeCell ref="J40:K40"/>
    <mergeCell ref="A2:K2"/>
    <mergeCell ref="A4:K4"/>
    <mergeCell ref="A6:K6"/>
    <mergeCell ref="J7:K7"/>
    <mergeCell ref="J8:K8"/>
    <mergeCell ref="J22:K22"/>
    <mergeCell ref="J9:K9"/>
    <mergeCell ref="J21:K21"/>
    <mergeCell ref="J43:K43"/>
    <mergeCell ref="J23:K23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</mergeCells>
  <pageMargins left="0.7" right="0.7" top="0.75" bottom="0.75" header="0.3" footer="0.3"/>
  <pageSetup paperSize="9" scale="92" orientation="landscape" r:id="rId1"/>
  <rowBreaks count="2" manualBreakCount="2">
    <brk id="24" max="16383" man="1"/>
    <brk id="46" max="16383" man="1"/>
  </rowBreaks>
  <ignoredErrors>
    <ignoredError sqref="I28:I36 I21 I41 I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workbookViewId="0">
      <selection activeCell="A36" sqref="A36:B36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4.1093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5.88671875" style="47" customWidth="1"/>
    <col min="11" max="11" width="35.6640625" style="47" customWidth="1"/>
    <col min="12" max="16384" width="9.109375" style="47"/>
  </cols>
  <sheetData>
    <row r="1" spans="1:15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15" ht="17.399999999999999" x14ac:dyDescent="0.3">
      <c r="A2" s="180" t="s">
        <v>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</row>
    <row r="3" spans="1:15" ht="17.399999999999999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5" x14ac:dyDescent="0.3">
      <c r="A4" s="181" t="s">
        <v>137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</row>
    <row r="5" spans="1:15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5" ht="15.6" x14ac:dyDescent="0.3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</row>
    <row r="7" spans="1:15" ht="25.5" customHeight="1" x14ac:dyDescent="0.3">
      <c r="A7" s="4" t="s">
        <v>2</v>
      </c>
      <c r="B7" s="4" t="s">
        <v>3</v>
      </c>
      <c r="C7" s="4" t="s">
        <v>4</v>
      </c>
      <c r="D7" s="5" t="s">
        <v>5</v>
      </c>
      <c r="E7" s="4" t="s">
        <v>6</v>
      </c>
      <c r="F7" s="6" t="s">
        <v>7</v>
      </c>
      <c r="G7" s="4" t="s">
        <v>8</v>
      </c>
      <c r="H7" s="4" t="s">
        <v>9</v>
      </c>
      <c r="I7" s="4" t="s">
        <v>61</v>
      </c>
      <c r="J7" s="205" t="s">
        <v>10</v>
      </c>
      <c r="K7" s="206"/>
    </row>
    <row r="8" spans="1:15" ht="25.5" customHeight="1" x14ac:dyDescent="0.3">
      <c r="A8" s="7" t="s">
        <v>11</v>
      </c>
      <c r="B8" s="7" t="s">
        <v>12</v>
      </c>
      <c r="C8" s="8" t="s">
        <v>74</v>
      </c>
      <c r="D8" s="9">
        <v>44021</v>
      </c>
      <c r="E8" s="9">
        <v>44386</v>
      </c>
      <c r="F8" s="10">
        <v>11426</v>
      </c>
      <c r="G8" s="11">
        <v>12157</v>
      </c>
      <c r="H8" s="24" t="s">
        <v>39</v>
      </c>
      <c r="I8" s="24" t="s">
        <v>146</v>
      </c>
      <c r="J8" s="207" t="s">
        <v>112</v>
      </c>
      <c r="K8" s="208"/>
    </row>
    <row r="9" spans="1:15" ht="25.5" customHeight="1" x14ac:dyDescent="0.3">
      <c r="A9" s="13" t="s">
        <v>14</v>
      </c>
      <c r="B9" s="13" t="s">
        <v>15</v>
      </c>
      <c r="C9" s="14" t="s">
        <v>76</v>
      </c>
      <c r="D9" s="9">
        <v>44021</v>
      </c>
      <c r="E9" s="9">
        <v>44386</v>
      </c>
      <c r="F9" s="15">
        <v>22709</v>
      </c>
      <c r="G9" s="16">
        <v>24162</v>
      </c>
      <c r="H9" s="12" t="s">
        <v>39</v>
      </c>
      <c r="I9" s="12" t="s">
        <v>146</v>
      </c>
      <c r="J9" s="187" t="s">
        <v>113</v>
      </c>
      <c r="K9" s="200"/>
    </row>
    <row r="10" spans="1:15" ht="25.5" customHeight="1" x14ac:dyDescent="0.3">
      <c r="A10" s="13" t="s">
        <v>17</v>
      </c>
      <c r="B10" s="13" t="s">
        <v>15</v>
      </c>
      <c r="C10" s="14" t="s">
        <v>77</v>
      </c>
      <c r="D10" s="9">
        <v>44011</v>
      </c>
      <c r="E10" s="9">
        <v>44376</v>
      </c>
      <c r="F10" s="15">
        <v>20752</v>
      </c>
      <c r="G10" s="16">
        <v>22080</v>
      </c>
      <c r="H10" s="12" t="s">
        <v>39</v>
      </c>
      <c r="I10" s="12" t="s">
        <v>146</v>
      </c>
      <c r="J10" s="187" t="s">
        <v>114</v>
      </c>
      <c r="K10" s="200"/>
    </row>
    <row r="11" spans="1:15" ht="25.5" customHeight="1" x14ac:dyDescent="0.3">
      <c r="A11" s="13" t="s">
        <v>19</v>
      </c>
      <c r="B11" s="13" t="s">
        <v>15</v>
      </c>
      <c r="C11" s="14" t="s">
        <v>78</v>
      </c>
      <c r="D11" s="9">
        <v>43972</v>
      </c>
      <c r="E11" s="9">
        <v>44337</v>
      </c>
      <c r="F11" s="15">
        <v>19281</v>
      </c>
      <c r="G11" s="16">
        <v>20616</v>
      </c>
      <c r="H11" s="12" t="s">
        <v>39</v>
      </c>
      <c r="I11" s="12" t="s">
        <v>138</v>
      </c>
      <c r="J11" s="187" t="s">
        <v>115</v>
      </c>
      <c r="K11" s="200"/>
    </row>
    <row r="12" spans="1:15" ht="25.5" customHeight="1" x14ac:dyDescent="0.3">
      <c r="A12" s="13" t="s">
        <v>21</v>
      </c>
      <c r="B12" s="13" t="s">
        <v>15</v>
      </c>
      <c r="C12" s="14" t="s">
        <v>79</v>
      </c>
      <c r="D12" s="9">
        <v>44012</v>
      </c>
      <c r="E12" s="9">
        <v>44377</v>
      </c>
      <c r="F12" s="15">
        <v>17128</v>
      </c>
      <c r="G12" s="16">
        <v>18224</v>
      </c>
      <c r="H12" s="12" t="s">
        <v>39</v>
      </c>
      <c r="I12" s="12" t="s">
        <v>146</v>
      </c>
      <c r="J12" s="187" t="s">
        <v>116</v>
      </c>
      <c r="K12" s="200"/>
      <c r="O12" s="47" t="s">
        <v>133</v>
      </c>
    </row>
    <row r="13" spans="1:15" ht="25.5" customHeight="1" x14ac:dyDescent="0.3">
      <c r="A13" s="13" t="s">
        <v>23</v>
      </c>
      <c r="B13" s="13" t="s">
        <v>15</v>
      </c>
      <c r="C13" s="14" t="s">
        <v>80</v>
      </c>
      <c r="D13" s="9">
        <v>44021</v>
      </c>
      <c r="E13" s="9">
        <v>44386</v>
      </c>
      <c r="F13" s="15">
        <v>14093</v>
      </c>
      <c r="G13" s="16">
        <v>14995</v>
      </c>
      <c r="H13" s="12" t="s">
        <v>39</v>
      </c>
      <c r="I13" s="12" t="s">
        <v>146</v>
      </c>
      <c r="J13" s="187" t="s">
        <v>117</v>
      </c>
      <c r="K13" s="200"/>
    </row>
    <row r="14" spans="1:15" ht="35.25" customHeight="1" x14ac:dyDescent="0.3">
      <c r="A14" s="13" t="s">
        <v>25</v>
      </c>
      <c r="B14" s="13" t="s">
        <v>26</v>
      </c>
      <c r="C14" s="29" t="s">
        <v>81</v>
      </c>
      <c r="D14" s="9">
        <v>44273</v>
      </c>
      <c r="E14" s="9">
        <v>44638</v>
      </c>
      <c r="F14" s="16">
        <v>33479</v>
      </c>
      <c r="G14" s="16">
        <v>34986</v>
      </c>
      <c r="H14" s="12" t="s">
        <v>27</v>
      </c>
      <c r="I14" s="12" t="s">
        <v>155</v>
      </c>
      <c r="J14" s="187" t="s">
        <v>110</v>
      </c>
      <c r="K14" s="200"/>
    </row>
    <row r="15" spans="1:15" ht="25.5" customHeight="1" x14ac:dyDescent="0.3">
      <c r="A15" s="13" t="s">
        <v>29</v>
      </c>
      <c r="B15" s="13" t="s">
        <v>12</v>
      </c>
      <c r="C15" s="14" t="s">
        <v>82</v>
      </c>
      <c r="D15" s="9">
        <v>43940</v>
      </c>
      <c r="E15" s="51">
        <v>44305</v>
      </c>
      <c r="F15" s="15">
        <v>13166</v>
      </c>
      <c r="G15" s="15">
        <v>14077</v>
      </c>
      <c r="H15" s="12" t="s">
        <v>39</v>
      </c>
      <c r="I15" s="12" t="s">
        <v>138</v>
      </c>
      <c r="J15" s="187" t="s">
        <v>118</v>
      </c>
      <c r="K15" s="200"/>
    </row>
    <row r="16" spans="1:15" ht="25.5" customHeight="1" x14ac:dyDescent="0.3">
      <c r="A16" s="13" t="s">
        <v>31</v>
      </c>
      <c r="B16" s="13" t="s">
        <v>12</v>
      </c>
      <c r="C16" s="14" t="s">
        <v>83</v>
      </c>
      <c r="D16" s="9">
        <v>44276</v>
      </c>
      <c r="E16" s="9">
        <v>44641</v>
      </c>
      <c r="F16" s="15">
        <v>11958</v>
      </c>
      <c r="G16" s="52">
        <v>12629</v>
      </c>
      <c r="H16" s="12" t="s">
        <v>39</v>
      </c>
      <c r="I16" s="12" t="s">
        <v>150</v>
      </c>
      <c r="J16" s="187" t="s">
        <v>119</v>
      </c>
      <c r="K16" s="200"/>
    </row>
    <row r="17" spans="1:11" ht="45.6" x14ac:dyDescent="0.3">
      <c r="A17" s="13" t="s">
        <v>34</v>
      </c>
      <c r="B17" s="13" t="s">
        <v>12</v>
      </c>
      <c r="C17" s="14" t="s">
        <v>85</v>
      </c>
      <c r="D17" s="9">
        <v>44099</v>
      </c>
      <c r="E17" s="9">
        <v>44464</v>
      </c>
      <c r="F17" s="15">
        <v>11175</v>
      </c>
      <c r="G17" s="15">
        <v>11861</v>
      </c>
      <c r="H17" s="12" t="s">
        <v>39</v>
      </c>
      <c r="I17" s="12" t="s">
        <v>148</v>
      </c>
      <c r="J17" s="187" t="s">
        <v>120</v>
      </c>
      <c r="K17" s="200"/>
    </row>
    <row r="18" spans="1:11" ht="45.6" x14ac:dyDescent="0.3">
      <c r="A18" s="13" t="s">
        <v>36</v>
      </c>
      <c r="B18" s="13" t="s">
        <v>12</v>
      </c>
      <c r="C18" s="14" t="s">
        <v>86</v>
      </c>
      <c r="D18" s="9">
        <v>43987</v>
      </c>
      <c r="E18" s="9">
        <v>44352</v>
      </c>
      <c r="F18" s="15">
        <v>9911</v>
      </c>
      <c r="G18" s="15">
        <v>10571</v>
      </c>
      <c r="H18" s="12" t="s">
        <v>39</v>
      </c>
      <c r="I18" s="12" t="s">
        <v>143</v>
      </c>
      <c r="J18" s="187" t="s">
        <v>121</v>
      </c>
      <c r="K18" s="200"/>
    </row>
    <row r="19" spans="1:11" ht="25.5" customHeight="1" x14ac:dyDescent="0.3">
      <c r="A19" s="13" t="s">
        <v>38</v>
      </c>
      <c r="B19" s="13" t="s">
        <v>12</v>
      </c>
      <c r="C19" s="14" t="s">
        <v>63</v>
      </c>
      <c r="D19" s="9">
        <v>44277</v>
      </c>
      <c r="E19" s="9">
        <v>44642</v>
      </c>
      <c r="F19" s="15">
        <v>9559</v>
      </c>
      <c r="G19" s="52">
        <v>10096</v>
      </c>
      <c r="H19" s="12" t="s">
        <v>39</v>
      </c>
      <c r="I19" s="12" t="s">
        <v>150</v>
      </c>
      <c r="J19" s="187" t="s">
        <v>122</v>
      </c>
      <c r="K19" s="200"/>
    </row>
    <row r="20" spans="1:11" ht="45.6" x14ac:dyDescent="0.3">
      <c r="A20" s="13" t="s">
        <v>65</v>
      </c>
      <c r="B20" s="13" t="s">
        <v>12</v>
      </c>
      <c r="C20" s="14" t="s">
        <v>101</v>
      </c>
      <c r="D20" s="9">
        <v>44262</v>
      </c>
      <c r="E20" s="9">
        <v>44627</v>
      </c>
      <c r="F20" s="15">
        <v>8850</v>
      </c>
      <c r="G20" s="15">
        <v>9347</v>
      </c>
      <c r="H20" s="12" t="s">
        <v>39</v>
      </c>
      <c r="I20" s="12" t="s">
        <v>150</v>
      </c>
      <c r="J20" s="187" t="s">
        <v>123</v>
      </c>
      <c r="K20" s="200"/>
    </row>
    <row r="21" spans="1:11" ht="45.6" x14ac:dyDescent="0.3">
      <c r="A21" s="13" t="s">
        <v>87</v>
      </c>
      <c r="B21" s="13" t="s">
        <v>12</v>
      </c>
      <c r="C21" s="14" t="s">
        <v>88</v>
      </c>
      <c r="D21" s="9">
        <v>44241</v>
      </c>
      <c r="E21" s="9">
        <v>45336</v>
      </c>
      <c r="F21" s="15">
        <v>7929</v>
      </c>
      <c r="G21" s="15">
        <v>9204</v>
      </c>
      <c r="H21" s="12" t="s">
        <v>89</v>
      </c>
      <c r="I21" s="12" t="s">
        <v>149</v>
      </c>
      <c r="J21" s="187" t="s">
        <v>168</v>
      </c>
      <c r="K21" s="200"/>
    </row>
    <row r="22" spans="1:11" ht="25.5" customHeight="1" x14ac:dyDescent="0.3">
      <c r="A22" s="13" t="s">
        <v>102</v>
      </c>
      <c r="B22" s="13" t="s">
        <v>12</v>
      </c>
      <c r="C22" s="14" t="s">
        <v>103</v>
      </c>
      <c r="D22" s="9">
        <v>44242</v>
      </c>
      <c r="E22" s="9">
        <v>44607</v>
      </c>
      <c r="F22" s="15">
        <v>7722</v>
      </c>
      <c r="G22" s="15">
        <v>8156</v>
      </c>
      <c r="H22" s="12" t="s">
        <v>39</v>
      </c>
      <c r="I22" s="12" t="s">
        <v>150</v>
      </c>
      <c r="J22" s="187" t="s">
        <v>169</v>
      </c>
      <c r="K22" s="200"/>
    </row>
    <row r="23" spans="1:11" ht="25.5" customHeight="1" x14ac:dyDescent="0.3">
      <c r="A23" s="13" t="s">
        <v>139</v>
      </c>
      <c r="B23" s="13" t="s">
        <v>12</v>
      </c>
      <c r="C23" s="14" t="s">
        <v>140</v>
      </c>
      <c r="D23" s="9">
        <v>43901</v>
      </c>
      <c r="E23" s="9">
        <v>44631</v>
      </c>
      <c r="F23" s="15">
        <v>6636</v>
      </c>
      <c r="G23" s="15">
        <v>7665</v>
      </c>
      <c r="H23" s="12" t="s">
        <v>95</v>
      </c>
      <c r="I23" s="12" t="s">
        <v>141</v>
      </c>
      <c r="J23" s="187" t="s">
        <v>142</v>
      </c>
      <c r="K23" s="200"/>
    </row>
    <row r="24" spans="1:11" ht="25.5" customHeight="1" x14ac:dyDescent="0.3">
      <c r="A24" s="17" t="s">
        <v>153</v>
      </c>
      <c r="B24" s="17" t="s">
        <v>12</v>
      </c>
      <c r="C24" s="18" t="s">
        <v>157</v>
      </c>
      <c r="D24" s="19">
        <v>44249</v>
      </c>
      <c r="E24" s="19">
        <v>44614</v>
      </c>
      <c r="F24" s="20">
        <v>6636</v>
      </c>
      <c r="G24" s="20">
        <v>7009</v>
      </c>
      <c r="H24" s="21" t="s">
        <v>39</v>
      </c>
      <c r="I24" s="21" t="s">
        <v>150</v>
      </c>
      <c r="J24" s="189" t="s">
        <v>167</v>
      </c>
      <c r="K24" s="203"/>
    </row>
    <row r="25" spans="1:11" ht="15.6" x14ac:dyDescent="0.3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2" t="s">
        <v>67</v>
      </c>
    </row>
    <row r="27" spans="1:11" ht="15.6" x14ac:dyDescent="0.35">
      <c r="A27" s="182" t="s">
        <v>41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</row>
    <row r="28" spans="1:11" ht="41.4" x14ac:dyDescent="0.3">
      <c r="A28" s="6" t="s">
        <v>2</v>
      </c>
      <c r="B28" s="6" t="s">
        <v>3</v>
      </c>
      <c r="C28" s="4" t="s">
        <v>4</v>
      </c>
      <c r="D28" s="5" t="s">
        <v>5</v>
      </c>
      <c r="E28" s="6" t="s">
        <v>6</v>
      </c>
      <c r="F28" s="6" t="s">
        <v>7</v>
      </c>
      <c r="G28" s="6" t="s">
        <v>8</v>
      </c>
      <c r="H28" s="6" t="s">
        <v>9</v>
      </c>
      <c r="I28" s="6" t="s">
        <v>61</v>
      </c>
      <c r="J28" s="201" t="s">
        <v>10</v>
      </c>
      <c r="K28" s="202"/>
    </row>
    <row r="29" spans="1:11" ht="40.799999999999997" x14ac:dyDescent="0.3">
      <c r="A29" s="7" t="s">
        <v>11</v>
      </c>
      <c r="B29" s="7" t="s">
        <v>26</v>
      </c>
      <c r="C29" s="30" t="s">
        <v>92</v>
      </c>
      <c r="D29" s="22">
        <v>44152</v>
      </c>
      <c r="E29" s="9">
        <f>D29+500</f>
        <v>44652</v>
      </c>
      <c r="F29" s="10">
        <v>52320</v>
      </c>
      <c r="G29" s="23">
        <v>55724</v>
      </c>
      <c r="H29" s="24" t="s">
        <v>42</v>
      </c>
      <c r="I29" s="24" t="s">
        <v>147</v>
      </c>
      <c r="J29" s="207" t="s">
        <v>43</v>
      </c>
      <c r="K29" s="209"/>
    </row>
    <row r="30" spans="1:11" ht="34.200000000000003" x14ac:dyDescent="0.3">
      <c r="A30" s="13" t="s">
        <v>14</v>
      </c>
      <c r="B30" s="13" t="s">
        <v>15</v>
      </c>
      <c r="C30" s="14" t="s">
        <v>46</v>
      </c>
      <c r="D30" s="9">
        <v>43205</v>
      </c>
      <c r="E30" s="9">
        <v>45031</v>
      </c>
      <c r="F30" s="15">
        <v>156051</v>
      </c>
      <c r="G30" s="25">
        <v>219695</v>
      </c>
      <c r="H30" s="12" t="s">
        <v>32</v>
      </c>
      <c r="I30" s="12" t="s">
        <v>96</v>
      </c>
      <c r="J30" s="210" t="s">
        <v>93</v>
      </c>
      <c r="K30" s="211"/>
    </row>
    <row r="31" spans="1:11" ht="34.200000000000003" x14ac:dyDescent="0.3">
      <c r="A31" s="13" t="s">
        <v>17</v>
      </c>
      <c r="B31" s="13" t="s">
        <v>15</v>
      </c>
      <c r="C31" s="14" t="s">
        <v>47</v>
      </c>
      <c r="D31" s="9">
        <v>43212</v>
      </c>
      <c r="E31" s="9">
        <v>45038</v>
      </c>
      <c r="F31" s="15">
        <v>156051</v>
      </c>
      <c r="G31" s="25">
        <v>219695</v>
      </c>
      <c r="H31" s="12" t="s">
        <v>32</v>
      </c>
      <c r="I31" s="12" t="s">
        <v>96</v>
      </c>
      <c r="J31" s="212"/>
      <c r="K31" s="213"/>
    </row>
    <row r="32" spans="1:11" ht="34.200000000000003" x14ac:dyDescent="0.3">
      <c r="A32" s="13" t="s">
        <v>19</v>
      </c>
      <c r="B32" s="13"/>
      <c r="C32" s="14" t="s">
        <v>48</v>
      </c>
      <c r="D32" s="9">
        <v>43212</v>
      </c>
      <c r="E32" s="9">
        <v>45038</v>
      </c>
      <c r="F32" s="15">
        <v>156051</v>
      </c>
      <c r="G32" s="25">
        <v>219695</v>
      </c>
      <c r="H32" s="12" t="s">
        <v>32</v>
      </c>
      <c r="I32" s="12" t="s">
        <v>96</v>
      </c>
      <c r="J32" s="212"/>
      <c r="K32" s="213"/>
    </row>
    <row r="33" spans="1:11" ht="34.200000000000003" x14ac:dyDescent="0.3">
      <c r="A33" s="13" t="s">
        <v>21</v>
      </c>
      <c r="B33" s="13"/>
      <c r="C33" s="14" t="s">
        <v>49</v>
      </c>
      <c r="D33" s="9">
        <v>43212</v>
      </c>
      <c r="E33" s="9">
        <v>45038</v>
      </c>
      <c r="F33" s="15">
        <v>156051</v>
      </c>
      <c r="G33" s="25">
        <v>219695</v>
      </c>
      <c r="H33" s="12" t="s">
        <v>32</v>
      </c>
      <c r="I33" s="12" t="s">
        <v>96</v>
      </c>
      <c r="J33" s="212"/>
      <c r="K33" s="213"/>
    </row>
    <row r="34" spans="1:11" ht="34.200000000000003" x14ac:dyDescent="0.3">
      <c r="A34" s="13" t="s">
        <v>23</v>
      </c>
      <c r="B34" s="13" t="s">
        <v>15</v>
      </c>
      <c r="C34" s="14" t="s">
        <v>50</v>
      </c>
      <c r="D34" s="9">
        <v>43212</v>
      </c>
      <c r="E34" s="9">
        <v>45038</v>
      </c>
      <c r="F34" s="15">
        <v>156051</v>
      </c>
      <c r="G34" s="25">
        <v>219695</v>
      </c>
      <c r="H34" s="12" t="s">
        <v>32</v>
      </c>
      <c r="I34" s="12" t="s">
        <v>96</v>
      </c>
      <c r="J34" s="214"/>
      <c r="K34" s="215"/>
    </row>
    <row r="35" spans="1:11" ht="45.6" x14ac:dyDescent="0.3">
      <c r="A35" s="13" t="s">
        <v>25</v>
      </c>
      <c r="B35" s="13" t="s">
        <v>15</v>
      </c>
      <c r="C35" s="14" t="s">
        <v>130</v>
      </c>
      <c r="D35" s="9">
        <v>43860</v>
      </c>
      <c r="E35" s="9">
        <v>44956</v>
      </c>
      <c r="F35" s="15">
        <v>50000</v>
      </c>
      <c r="G35" s="25">
        <v>60940</v>
      </c>
      <c r="H35" s="12" t="s">
        <v>89</v>
      </c>
      <c r="I35" s="12" t="s">
        <v>132</v>
      </c>
      <c r="J35" s="218" t="s">
        <v>93</v>
      </c>
      <c r="K35" s="219"/>
    </row>
    <row r="36" spans="1:11" ht="45.6" x14ac:dyDescent="0.3">
      <c r="A36" s="37" t="s">
        <v>106</v>
      </c>
      <c r="B36" s="43" t="s">
        <v>15</v>
      </c>
      <c r="C36" s="42" t="s">
        <v>131</v>
      </c>
      <c r="D36" s="32">
        <v>43860</v>
      </c>
      <c r="E36" s="35">
        <v>44956</v>
      </c>
      <c r="F36" s="41">
        <v>50000</v>
      </c>
      <c r="G36" s="45">
        <v>60940</v>
      </c>
      <c r="H36" s="34" t="s">
        <v>89</v>
      </c>
      <c r="I36" s="38" t="s">
        <v>132</v>
      </c>
      <c r="J36" s="216" t="s">
        <v>151</v>
      </c>
      <c r="K36" s="217"/>
    </row>
    <row r="37" spans="1:11" ht="34.200000000000003" x14ac:dyDescent="0.3">
      <c r="A37" s="13" t="s">
        <v>29</v>
      </c>
      <c r="B37" s="13" t="s">
        <v>15</v>
      </c>
      <c r="C37" s="14" t="s">
        <v>52</v>
      </c>
      <c r="D37" s="9">
        <v>44224</v>
      </c>
      <c r="E37" s="9">
        <v>44724</v>
      </c>
      <c r="F37" s="15">
        <v>47443</v>
      </c>
      <c r="G37" s="16">
        <v>50530</v>
      </c>
      <c r="H37" s="12" t="s">
        <v>42</v>
      </c>
      <c r="I37" s="12" t="s">
        <v>147</v>
      </c>
      <c r="J37" s="187" t="s">
        <v>53</v>
      </c>
      <c r="K37" s="188"/>
    </row>
    <row r="38" spans="1:11" ht="25.5" customHeight="1" x14ac:dyDescent="0.3">
      <c r="A38" s="13" t="s">
        <v>31</v>
      </c>
      <c r="B38" s="13" t="s">
        <v>15</v>
      </c>
      <c r="C38" s="14" t="s">
        <v>55</v>
      </c>
      <c r="D38" s="9">
        <v>43907</v>
      </c>
      <c r="E38" s="9">
        <v>45733</v>
      </c>
      <c r="F38" s="15">
        <v>44044</v>
      </c>
      <c r="G38" s="16">
        <v>61249</v>
      </c>
      <c r="H38" s="12" t="s">
        <v>32</v>
      </c>
      <c r="I38" s="12" t="s">
        <v>132</v>
      </c>
      <c r="J38" s="187" t="s">
        <v>56</v>
      </c>
      <c r="K38" s="188"/>
    </row>
    <row r="39" spans="1:11" ht="45.6" x14ac:dyDescent="0.3">
      <c r="A39" s="13" t="s">
        <v>54</v>
      </c>
      <c r="B39" s="13" t="s">
        <v>15</v>
      </c>
      <c r="C39" s="14" t="s">
        <v>58</v>
      </c>
      <c r="D39" s="9">
        <v>43950</v>
      </c>
      <c r="E39" s="9">
        <v>44450</v>
      </c>
      <c r="F39" s="15">
        <v>37786</v>
      </c>
      <c r="G39" s="16">
        <v>41151</v>
      </c>
      <c r="H39" s="12" t="s">
        <v>42</v>
      </c>
      <c r="I39" s="12" t="s">
        <v>143</v>
      </c>
      <c r="J39" s="187" t="s">
        <v>59</v>
      </c>
      <c r="K39" s="188"/>
    </row>
    <row r="40" spans="1:11" ht="45.6" x14ac:dyDescent="0.3">
      <c r="A40" s="13" t="s">
        <v>57</v>
      </c>
      <c r="B40" s="13" t="s">
        <v>15</v>
      </c>
      <c r="C40" s="14" t="s">
        <v>70</v>
      </c>
      <c r="D40" s="9">
        <v>43794</v>
      </c>
      <c r="E40" s="9">
        <f>D40+500</f>
        <v>44294</v>
      </c>
      <c r="F40" s="15">
        <v>34108</v>
      </c>
      <c r="G40" s="16">
        <v>37379</v>
      </c>
      <c r="H40" s="12" t="s">
        <v>42</v>
      </c>
      <c r="I40" s="12" t="s">
        <v>62</v>
      </c>
      <c r="J40" s="187" t="s">
        <v>72</v>
      </c>
      <c r="K40" s="188"/>
    </row>
    <row r="41" spans="1:11" ht="45.6" x14ac:dyDescent="0.3">
      <c r="A41" s="13" t="s">
        <v>69</v>
      </c>
      <c r="B41" s="13" t="s">
        <v>15</v>
      </c>
      <c r="C41" s="14" t="s">
        <v>99</v>
      </c>
      <c r="D41" s="9">
        <v>44145</v>
      </c>
      <c r="E41" s="9">
        <f>D41+500</f>
        <v>44645</v>
      </c>
      <c r="F41" s="15">
        <v>34108</v>
      </c>
      <c r="G41" s="16">
        <v>36327</v>
      </c>
      <c r="H41" s="12" t="s">
        <v>42</v>
      </c>
      <c r="I41" s="12" t="s">
        <v>147</v>
      </c>
      <c r="J41" s="187" t="s">
        <v>100</v>
      </c>
      <c r="K41" s="188"/>
    </row>
    <row r="42" spans="1:11" ht="45.6" x14ac:dyDescent="0.3">
      <c r="A42" s="13" t="s">
        <v>97</v>
      </c>
      <c r="B42" s="13" t="s">
        <v>15</v>
      </c>
      <c r="C42" s="14" t="s">
        <v>105</v>
      </c>
      <c r="D42" s="9">
        <v>44011</v>
      </c>
      <c r="E42" s="9">
        <f>D42+500</f>
        <v>44511</v>
      </c>
      <c r="F42" s="15">
        <v>31027</v>
      </c>
      <c r="G42" s="16">
        <v>33258</v>
      </c>
      <c r="H42" s="12" t="s">
        <v>42</v>
      </c>
      <c r="I42" s="12" t="s">
        <v>145</v>
      </c>
      <c r="J42" s="187" t="s">
        <v>126</v>
      </c>
      <c r="K42" s="188"/>
    </row>
    <row r="43" spans="1:11" ht="45.6" x14ac:dyDescent="0.3">
      <c r="A43" s="13" t="s">
        <v>98</v>
      </c>
      <c r="B43" s="13" t="s">
        <v>15</v>
      </c>
      <c r="C43" s="14" t="s">
        <v>135</v>
      </c>
      <c r="D43" s="9">
        <v>43899</v>
      </c>
      <c r="E43" s="9">
        <f>D43+500</f>
        <v>44399</v>
      </c>
      <c r="F43" s="15">
        <v>28224</v>
      </c>
      <c r="G43" s="16">
        <v>30930</v>
      </c>
      <c r="H43" s="12" t="s">
        <v>42</v>
      </c>
      <c r="I43" s="12" t="s">
        <v>62</v>
      </c>
      <c r="J43" s="187" t="s">
        <v>136</v>
      </c>
      <c r="K43" s="188"/>
    </row>
    <row r="44" spans="1:11" ht="45.6" x14ac:dyDescent="0.3">
      <c r="A44" s="17" t="s">
        <v>134</v>
      </c>
      <c r="B44" s="17" t="s">
        <v>15</v>
      </c>
      <c r="C44" s="18" t="s">
        <v>154</v>
      </c>
      <c r="D44" s="19">
        <v>44249</v>
      </c>
      <c r="E44" s="19">
        <f>D44+500</f>
        <v>44749</v>
      </c>
      <c r="F44" s="20">
        <v>28224</v>
      </c>
      <c r="G44" s="26">
        <v>30060</v>
      </c>
      <c r="H44" s="21" t="s">
        <v>42</v>
      </c>
      <c r="I44" s="21" t="s">
        <v>147</v>
      </c>
      <c r="J44" s="189" t="s">
        <v>152</v>
      </c>
      <c r="K44" s="190"/>
    </row>
  </sheetData>
  <mergeCells count="36">
    <mergeCell ref="J44:K44"/>
    <mergeCell ref="J37:K37"/>
    <mergeCell ref="J38:K38"/>
    <mergeCell ref="J39:K39"/>
    <mergeCell ref="J40:K40"/>
    <mergeCell ref="J41:K41"/>
    <mergeCell ref="J42:K42"/>
    <mergeCell ref="J14:K14"/>
    <mergeCell ref="J30:K34"/>
    <mergeCell ref="J16:K16"/>
    <mergeCell ref="J17:K17"/>
    <mergeCell ref="J18:K18"/>
    <mergeCell ref="J19:K19"/>
    <mergeCell ref="J20:K20"/>
    <mergeCell ref="J21:K21"/>
    <mergeCell ref="J22:K22"/>
    <mergeCell ref="J24:K24"/>
    <mergeCell ref="A25:K25"/>
    <mergeCell ref="A27:K27"/>
    <mergeCell ref="J28:K28"/>
    <mergeCell ref="J29:K29"/>
    <mergeCell ref="J9:K9"/>
    <mergeCell ref="J10:K10"/>
    <mergeCell ref="J11:K11"/>
    <mergeCell ref="J12:K12"/>
    <mergeCell ref="J13:K13"/>
    <mergeCell ref="A2:K2"/>
    <mergeCell ref="A4:K4"/>
    <mergeCell ref="A6:K6"/>
    <mergeCell ref="J7:K7"/>
    <mergeCell ref="J8:K8"/>
    <mergeCell ref="J36:K36"/>
    <mergeCell ref="J35:K35"/>
    <mergeCell ref="J43:K43"/>
    <mergeCell ref="J23:K23"/>
    <mergeCell ref="J15:K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"/>
  <sheetViews>
    <sheetView topLeftCell="A30" workbookViewId="0">
      <selection activeCell="J37" sqref="J37:K37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4.1093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5.88671875" style="47" customWidth="1"/>
    <col min="11" max="11" width="35.6640625" style="47" customWidth="1"/>
    <col min="12" max="16384" width="9.109375" style="47"/>
  </cols>
  <sheetData>
    <row r="1" spans="1:15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60</v>
      </c>
    </row>
    <row r="2" spans="1:15" ht="17.399999999999999" x14ac:dyDescent="0.3">
      <c r="A2" s="180" t="s">
        <v>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</row>
    <row r="3" spans="1:15" ht="17.399999999999999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5" x14ac:dyDescent="0.3">
      <c r="A4" s="181" t="s">
        <v>156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</row>
    <row r="5" spans="1:15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5" ht="15.6" x14ac:dyDescent="0.3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</row>
    <row r="7" spans="1:15" ht="25.5" customHeight="1" x14ac:dyDescent="0.3">
      <c r="A7" s="4" t="s">
        <v>2</v>
      </c>
      <c r="B7" s="4" t="s">
        <v>3</v>
      </c>
      <c r="C7" s="4" t="s">
        <v>4</v>
      </c>
      <c r="D7" s="5" t="s">
        <v>5</v>
      </c>
      <c r="E7" s="4" t="s">
        <v>6</v>
      </c>
      <c r="F7" s="6" t="s">
        <v>7</v>
      </c>
      <c r="G7" s="4" t="s">
        <v>8</v>
      </c>
      <c r="H7" s="4" t="s">
        <v>9</v>
      </c>
      <c r="I7" s="4" t="s">
        <v>61</v>
      </c>
      <c r="J7" s="205" t="s">
        <v>10</v>
      </c>
      <c r="K7" s="206"/>
    </row>
    <row r="8" spans="1:15" ht="25.5" customHeight="1" x14ac:dyDescent="0.3">
      <c r="A8" s="7" t="s">
        <v>11</v>
      </c>
      <c r="B8" s="7" t="s">
        <v>12</v>
      </c>
      <c r="C8" s="8" t="s">
        <v>74</v>
      </c>
      <c r="D8" s="9">
        <v>44386</v>
      </c>
      <c r="E8" s="9">
        <v>44751</v>
      </c>
      <c r="F8" s="10">
        <v>12157</v>
      </c>
      <c r="G8" s="11">
        <v>12840</v>
      </c>
      <c r="H8" s="24" t="s">
        <v>39</v>
      </c>
      <c r="I8" s="24" t="s">
        <v>150</v>
      </c>
      <c r="J8" s="207" t="s">
        <v>112</v>
      </c>
      <c r="K8" s="208"/>
    </row>
    <row r="9" spans="1:15" ht="25.5" customHeight="1" x14ac:dyDescent="0.3">
      <c r="A9" s="13" t="s">
        <v>14</v>
      </c>
      <c r="B9" s="13" t="s">
        <v>15</v>
      </c>
      <c r="C9" s="14" t="s">
        <v>76</v>
      </c>
      <c r="D9" s="9">
        <v>44386</v>
      </c>
      <c r="E9" s="9">
        <v>44751</v>
      </c>
      <c r="F9" s="15">
        <v>24162</v>
      </c>
      <c r="G9" s="16">
        <v>25514</v>
      </c>
      <c r="H9" s="12" t="s">
        <v>39</v>
      </c>
      <c r="I9" s="12" t="s">
        <v>150</v>
      </c>
      <c r="J9" s="187" t="s">
        <v>113</v>
      </c>
      <c r="K9" s="200"/>
    </row>
    <row r="10" spans="1:15" ht="25.5" customHeight="1" x14ac:dyDescent="0.3">
      <c r="A10" s="13" t="s">
        <v>17</v>
      </c>
      <c r="B10" s="13" t="s">
        <v>15</v>
      </c>
      <c r="C10" s="14" t="s">
        <v>77</v>
      </c>
      <c r="D10" s="9">
        <v>44376</v>
      </c>
      <c r="E10" s="9">
        <v>44741</v>
      </c>
      <c r="F10" s="15">
        <v>22080</v>
      </c>
      <c r="G10" s="16">
        <v>23320</v>
      </c>
      <c r="H10" s="12" t="s">
        <v>39</v>
      </c>
      <c r="I10" s="12" t="s">
        <v>150</v>
      </c>
      <c r="J10" s="187" t="s">
        <v>114</v>
      </c>
      <c r="K10" s="200"/>
    </row>
    <row r="11" spans="1:15" ht="25.5" customHeight="1" x14ac:dyDescent="0.3">
      <c r="A11" s="13" t="s">
        <v>19</v>
      </c>
      <c r="B11" s="13" t="s">
        <v>15</v>
      </c>
      <c r="C11" s="14" t="s">
        <v>78</v>
      </c>
      <c r="D11" s="9">
        <v>44337</v>
      </c>
      <c r="E11" s="9">
        <v>44702</v>
      </c>
      <c r="F11" s="15">
        <v>20616</v>
      </c>
      <c r="G11" s="16">
        <v>21773</v>
      </c>
      <c r="H11" s="12" t="s">
        <v>39</v>
      </c>
      <c r="I11" s="12" t="s">
        <v>150</v>
      </c>
      <c r="J11" s="187" t="s">
        <v>115</v>
      </c>
      <c r="K11" s="200"/>
    </row>
    <row r="12" spans="1:15" ht="25.5" customHeight="1" x14ac:dyDescent="0.3">
      <c r="A12" s="13" t="s">
        <v>21</v>
      </c>
      <c r="B12" s="13" t="s">
        <v>15</v>
      </c>
      <c r="C12" s="14" t="s">
        <v>79</v>
      </c>
      <c r="D12" s="9">
        <v>44377</v>
      </c>
      <c r="E12" s="9">
        <v>44742</v>
      </c>
      <c r="F12" s="15">
        <v>18224</v>
      </c>
      <c r="G12" s="16">
        <v>19247</v>
      </c>
      <c r="H12" s="12" t="s">
        <v>39</v>
      </c>
      <c r="I12" s="12" t="s">
        <v>150</v>
      </c>
      <c r="J12" s="187" t="s">
        <v>116</v>
      </c>
      <c r="K12" s="200"/>
      <c r="O12" s="47" t="s">
        <v>133</v>
      </c>
    </row>
    <row r="13" spans="1:15" ht="25.5" customHeight="1" x14ac:dyDescent="0.3">
      <c r="A13" s="13" t="s">
        <v>23</v>
      </c>
      <c r="B13" s="13" t="s">
        <v>15</v>
      </c>
      <c r="C13" s="14" t="s">
        <v>80</v>
      </c>
      <c r="D13" s="9">
        <v>44386</v>
      </c>
      <c r="E13" s="9">
        <v>44751</v>
      </c>
      <c r="F13" s="15">
        <v>14995</v>
      </c>
      <c r="G13" s="16">
        <v>15837</v>
      </c>
      <c r="H13" s="12" t="s">
        <v>39</v>
      </c>
      <c r="I13" s="12" t="s">
        <v>150</v>
      </c>
      <c r="J13" s="187" t="s">
        <v>117</v>
      </c>
      <c r="K13" s="200"/>
    </row>
    <row r="14" spans="1:15" ht="35.25" customHeight="1" x14ac:dyDescent="0.3">
      <c r="A14" s="13" t="s">
        <v>25</v>
      </c>
      <c r="B14" s="13" t="s">
        <v>26</v>
      </c>
      <c r="C14" s="29" t="s">
        <v>81</v>
      </c>
      <c r="D14" s="9">
        <v>44638</v>
      </c>
      <c r="E14" s="9">
        <f>D14+365</f>
        <v>45003</v>
      </c>
      <c r="F14" s="16">
        <v>34835</v>
      </c>
      <c r="G14" s="16">
        <v>36403</v>
      </c>
      <c r="H14" s="12" t="s">
        <v>27</v>
      </c>
      <c r="I14" s="12" t="s">
        <v>155</v>
      </c>
      <c r="J14" s="187" t="s">
        <v>110</v>
      </c>
      <c r="K14" s="200"/>
    </row>
    <row r="15" spans="1:15" ht="25.5" customHeight="1" x14ac:dyDescent="0.3">
      <c r="A15" s="13" t="s">
        <v>29</v>
      </c>
      <c r="B15" s="13" t="s">
        <v>12</v>
      </c>
      <c r="C15" s="14" t="s">
        <v>82</v>
      </c>
      <c r="D15" s="9">
        <v>44305</v>
      </c>
      <c r="E15" s="9">
        <v>44670</v>
      </c>
      <c r="F15" s="15">
        <v>14077</v>
      </c>
      <c r="G15" s="15">
        <v>14867</v>
      </c>
      <c r="H15" s="12" t="s">
        <v>39</v>
      </c>
      <c r="I15" s="12" t="s">
        <v>138</v>
      </c>
      <c r="J15" s="187" t="s">
        <v>118</v>
      </c>
      <c r="K15" s="200"/>
    </row>
    <row r="16" spans="1:15" ht="25.5" customHeight="1" x14ac:dyDescent="0.3">
      <c r="A16" s="13" t="s">
        <v>31</v>
      </c>
      <c r="B16" s="13" t="s">
        <v>12</v>
      </c>
      <c r="C16" s="14" t="s">
        <v>83</v>
      </c>
      <c r="D16" s="9">
        <v>44641</v>
      </c>
      <c r="E16" s="9">
        <v>45006</v>
      </c>
      <c r="F16" s="15">
        <v>12629</v>
      </c>
      <c r="G16" s="52">
        <v>13305</v>
      </c>
      <c r="H16" s="12" t="s">
        <v>39</v>
      </c>
      <c r="I16" s="12" t="s">
        <v>145</v>
      </c>
      <c r="J16" s="187" t="s">
        <v>119</v>
      </c>
      <c r="K16" s="200"/>
    </row>
    <row r="17" spans="1:11" ht="25.5" customHeight="1" x14ac:dyDescent="0.3">
      <c r="A17" s="13" t="s">
        <v>34</v>
      </c>
      <c r="B17" s="13" t="s">
        <v>12</v>
      </c>
      <c r="C17" s="14" t="s">
        <v>85</v>
      </c>
      <c r="D17" s="9">
        <v>44464</v>
      </c>
      <c r="E17" s="9">
        <v>44829</v>
      </c>
      <c r="F17" s="15">
        <v>11861</v>
      </c>
      <c r="G17" s="15">
        <v>12508</v>
      </c>
      <c r="H17" s="12" t="s">
        <v>39</v>
      </c>
      <c r="I17" s="12" t="s">
        <v>158</v>
      </c>
      <c r="J17" s="187" t="s">
        <v>120</v>
      </c>
      <c r="K17" s="200"/>
    </row>
    <row r="18" spans="1:11" ht="25.5" customHeight="1" x14ac:dyDescent="0.3">
      <c r="A18" s="13" t="s">
        <v>36</v>
      </c>
      <c r="B18" s="13" t="s">
        <v>12</v>
      </c>
      <c r="C18" s="14" t="s">
        <v>86</v>
      </c>
      <c r="D18" s="9">
        <v>44352</v>
      </c>
      <c r="E18" s="9">
        <v>44717</v>
      </c>
      <c r="F18" s="15">
        <v>10571</v>
      </c>
      <c r="G18" s="15">
        <v>11165</v>
      </c>
      <c r="H18" s="12" t="s">
        <v>39</v>
      </c>
      <c r="I18" s="12" t="s">
        <v>143</v>
      </c>
      <c r="J18" s="187" t="s">
        <v>121</v>
      </c>
      <c r="K18" s="200"/>
    </row>
    <row r="19" spans="1:11" ht="25.5" customHeight="1" x14ac:dyDescent="0.3">
      <c r="A19" s="13" t="s">
        <v>38</v>
      </c>
      <c r="B19" s="13" t="s">
        <v>12</v>
      </c>
      <c r="C19" s="14" t="s">
        <v>166</v>
      </c>
      <c r="D19" s="9">
        <v>44642</v>
      </c>
      <c r="E19" s="9">
        <v>45007</v>
      </c>
      <c r="F19" s="15">
        <v>10096</v>
      </c>
      <c r="G19" s="52">
        <v>10637</v>
      </c>
      <c r="H19" s="12" t="s">
        <v>39</v>
      </c>
      <c r="I19" s="12" t="s">
        <v>145</v>
      </c>
      <c r="J19" s="187" t="s">
        <v>122</v>
      </c>
      <c r="K19" s="200"/>
    </row>
    <row r="20" spans="1:11" ht="25.5" customHeight="1" x14ac:dyDescent="0.3">
      <c r="A20" s="13" t="s">
        <v>65</v>
      </c>
      <c r="B20" s="13" t="s">
        <v>12</v>
      </c>
      <c r="C20" s="14" t="s">
        <v>101</v>
      </c>
      <c r="D20" s="9">
        <v>44627</v>
      </c>
      <c r="E20" s="9">
        <v>44992</v>
      </c>
      <c r="F20" s="15">
        <v>9347</v>
      </c>
      <c r="G20" s="15">
        <v>9847</v>
      </c>
      <c r="H20" s="12" t="s">
        <v>39</v>
      </c>
      <c r="I20" s="12" t="s">
        <v>145</v>
      </c>
      <c r="J20" s="187" t="s">
        <v>123</v>
      </c>
      <c r="K20" s="200"/>
    </row>
    <row r="21" spans="1:11" ht="25.5" customHeight="1" x14ac:dyDescent="0.3">
      <c r="A21" s="13" t="s">
        <v>87</v>
      </c>
      <c r="B21" s="13" t="s">
        <v>12</v>
      </c>
      <c r="C21" s="14" t="s">
        <v>88</v>
      </c>
      <c r="D21" s="9">
        <v>44241</v>
      </c>
      <c r="E21" s="9">
        <v>45336</v>
      </c>
      <c r="F21" s="15">
        <v>7929</v>
      </c>
      <c r="G21" s="15">
        <v>9204</v>
      </c>
      <c r="H21" s="12" t="s">
        <v>89</v>
      </c>
      <c r="I21" s="12" t="s">
        <v>149</v>
      </c>
      <c r="J21" s="187" t="s">
        <v>168</v>
      </c>
      <c r="K21" s="200"/>
    </row>
    <row r="22" spans="1:11" ht="25.5" customHeight="1" x14ac:dyDescent="0.3">
      <c r="A22" s="13" t="s">
        <v>102</v>
      </c>
      <c r="B22" s="13" t="s">
        <v>12</v>
      </c>
      <c r="C22" s="14" t="s">
        <v>103</v>
      </c>
      <c r="D22" s="9">
        <v>44607</v>
      </c>
      <c r="E22" s="9">
        <v>44972</v>
      </c>
      <c r="F22" s="15">
        <v>8156</v>
      </c>
      <c r="G22" s="15">
        <v>8593</v>
      </c>
      <c r="H22" s="12" t="s">
        <v>39</v>
      </c>
      <c r="I22" s="12" t="s">
        <v>145</v>
      </c>
      <c r="J22" s="187" t="s">
        <v>169</v>
      </c>
      <c r="K22" s="200"/>
    </row>
    <row r="23" spans="1:11" ht="25.5" customHeight="1" x14ac:dyDescent="0.3">
      <c r="A23" s="13" t="s">
        <v>139</v>
      </c>
      <c r="B23" s="13" t="s">
        <v>12</v>
      </c>
      <c r="C23" s="14" t="s">
        <v>140</v>
      </c>
      <c r="D23" s="9">
        <v>44631</v>
      </c>
      <c r="E23" s="9">
        <v>45362</v>
      </c>
      <c r="F23" s="15">
        <v>7665</v>
      </c>
      <c r="G23" s="15">
        <v>8508</v>
      </c>
      <c r="H23" s="12" t="s">
        <v>95</v>
      </c>
      <c r="I23" s="12" t="s">
        <v>145</v>
      </c>
      <c r="J23" s="187" t="s">
        <v>170</v>
      </c>
      <c r="K23" s="200"/>
    </row>
    <row r="24" spans="1:11" ht="25.5" customHeight="1" x14ac:dyDescent="0.3">
      <c r="A24" s="13" t="s">
        <v>153</v>
      </c>
      <c r="B24" s="13" t="s">
        <v>12</v>
      </c>
      <c r="C24" s="14" t="s">
        <v>157</v>
      </c>
      <c r="D24" s="9">
        <v>44614</v>
      </c>
      <c r="E24" s="9">
        <v>44979</v>
      </c>
      <c r="F24" s="15">
        <v>7009</v>
      </c>
      <c r="G24" s="15">
        <v>7384</v>
      </c>
      <c r="H24" s="12" t="s">
        <v>39</v>
      </c>
      <c r="I24" s="12" t="s">
        <v>145</v>
      </c>
      <c r="J24" s="187" t="s">
        <v>194</v>
      </c>
      <c r="K24" s="200"/>
    </row>
    <row r="25" spans="1:11" ht="25.5" customHeight="1" x14ac:dyDescent="0.3">
      <c r="A25" s="17" t="s">
        <v>160</v>
      </c>
      <c r="B25" s="17" t="s">
        <v>12</v>
      </c>
      <c r="C25" s="18" t="s">
        <v>164</v>
      </c>
      <c r="D25" s="19">
        <v>44628</v>
      </c>
      <c r="E25" s="19">
        <v>44993</v>
      </c>
      <c r="F25" s="20">
        <v>6636</v>
      </c>
      <c r="G25" s="20">
        <v>6991</v>
      </c>
      <c r="H25" s="21" t="s">
        <v>39</v>
      </c>
      <c r="I25" s="21" t="s">
        <v>145</v>
      </c>
      <c r="J25" s="189" t="s">
        <v>161</v>
      </c>
      <c r="K25" s="203"/>
    </row>
    <row r="26" spans="1:11" ht="25.5" customHeight="1" x14ac:dyDescent="0.35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</row>
    <row r="27" spans="1:11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2" t="s">
        <v>67</v>
      </c>
    </row>
    <row r="28" spans="1:11" ht="25.5" customHeight="1" x14ac:dyDescent="0.35">
      <c r="A28" s="182" t="s">
        <v>41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</row>
    <row r="29" spans="1:11" ht="25.5" customHeight="1" x14ac:dyDescent="0.3">
      <c r="A29" s="6" t="s">
        <v>2</v>
      </c>
      <c r="B29" s="6" t="s">
        <v>3</v>
      </c>
      <c r="C29" s="4" t="s">
        <v>4</v>
      </c>
      <c r="D29" s="5" t="s">
        <v>5</v>
      </c>
      <c r="E29" s="6" t="s">
        <v>6</v>
      </c>
      <c r="F29" s="6" t="s">
        <v>7</v>
      </c>
      <c r="G29" s="6" t="s">
        <v>8</v>
      </c>
      <c r="H29" s="6" t="s">
        <v>9</v>
      </c>
      <c r="I29" s="6" t="s">
        <v>61</v>
      </c>
      <c r="J29" s="201" t="s">
        <v>10</v>
      </c>
      <c r="K29" s="202"/>
    </row>
    <row r="30" spans="1:11" ht="29.4" customHeight="1" x14ac:dyDescent="0.3">
      <c r="A30" s="7" t="s">
        <v>11</v>
      </c>
      <c r="B30" s="7" t="s">
        <v>26</v>
      </c>
      <c r="C30" s="30" t="s">
        <v>92</v>
      </c>
      <c r="D30" s="22">
        <v>44152</v>
      </c>
      <c r="E30" s="9">
        <f>D30+500</f>
        <v>44652</v>
      </c>
      <c r="F30" s="10">
        <v>52320</v>
      </c>
      <c r="G30" s="23">
        <v>55724</v>
      </c>
      <c r="H30" s="24" t="s">
        <v>42</v>
      </c>
      <c r="I30" s="24" t="s">
        <v>147</v>
      </c>
      <c r="J30" s="207" t="s">
        <v>43</v>
      </c>
      <c r="K30" s="209"/>
    </row>
    <row r="31" spans="1:11" ht="25.5" customHeight="1" x14ac:dyDescent="0.3">
      <c r="A31" s="13" t="s">
        <v>14</v>
      </c>
      <c r="B31" s="13" t="s">
        <v>15</v>
      </c>
      <c r="C31" s="14" t="s">
        <v>46</v>
      </c>
      <c r="D31" s="9">
        <v>43205</v>
      </c>
      <c r="E31" s="9">
        <v>45031</v>
      </c>
      <c r="F31" s="15">
        <v>156051</v>
      </c>
      <c r="G31" s="25">
        <v>219695</v>
      </c>
      <c r="H31" s="12" t="s">
        <v>32</v>
      </c>
      <c r="I31" s="12" t="s">
        <v>96</v>
      </c>
      <c r="J31" s="210" t="s">
        <v>93</v>
      </c>
      <c r="K31" s="211"/>
    </row>
    <row r="32" spans="1:11" ht="25.5" customHeight="1" x14ac:dyDescent="0.3">
      <c r="A32" s="13" t="s">
        <v>17</v>
      </c>
      <c r="B32" s="13" t="s">
        <v>15</v>
      </c>
      <c r="C32" s="14" t="s">
        <v>47</v>
      </c>
      <c r="D32" s="9">
        <v>43212</v>
      </c>
      <c r="E32" s="9">
        <v>45038</v>
      </c>
      <c r="F32" s="15">
        <v>156051</v>
      </c>
      <c r="G32" s="25">
        <v>219695</v>
      </c>
      <c r="H32" s="12" t="s">
        <v>32</v>
      </c>
      <c r="I32" s="12" t="s">
        <v>96</v>
      </c>
      <c r="J32" s="212"/>
      <c r="K32" s="213"/>
    </row>
    <row r="33" spans="1:11" ht="25.5" customHeight="1" x14ac:dyDescent="0.3">
      <c r="A33" s="13" t="s">
        <v>19</v>
      </c>
      <c r="B33" s="13"/>
      <c r="C33" s="14" t="s">
        <v>48</v>
      </c>
      <c r="D33" s="9">
        <v>43212</v>
      </c>
      <c r="E33" s="9">
        <v>45038</v>
      </c>
      <c r="F33" s="15">
        <v>156051</v>
      </c>
      <c r="G33" s="25">
        <v>219695</v>
      </c>
      <c r="H33" s="12" t="s">
        <v>32</v>
      </c>
      <c r="I33" s="12" t="s">
        <v>96</v>
      </c>
      <c r="J33" s="212"/>
      <c r="K33" s="213"/>
    </row>
    <row r="34" spans="1:11" ht="25.5" customHeight="1" x14ac:dyDescent="0.3">
      <c r="A34" s="13" t="s">
        <v>21</v>
      </c>
      <c r="B34" s="13"/>
      <c r="C34" s="14" t="s">
        <v>49</v>
      </c>
      <c r="D34" s="9">
        <v>43212</v>
      </c>
      <c r="E34" s="9">
        <v>45038</v>
      </c>
      <c r="F34" s="15">
        <v>156051</v>
      </c>
      <c r="G34" s="25">
        <v>219695</v>
      </c>
      <c r="H34" s="12" t="s">
        <v>32</v>
      </c>
      <c r="I34" s="12" t="s">
        <v>96</v>
      </c>
      <c r="J34" s="212"/>
      <c r="K34" s="213"/>
    </row>
    <row r="35" spans="1:11" ht="25.5" customHeight="1" x14ac:dyDescent="0.3">
      <c r="A35" s="13" t="s">
        <v>23</v>
      </c>
      <c r="B35" s="13" t="s">
        <v>15</v>
      </c>
      <c r="C35" s="14" t="s">
        <v>50</v>
      </c>
      <c r="D35" s="9">
        <v>43212</v>
      </c>
      <c r="E35" s="9">
        <v>45038</v>
      </c>
      <c r="F35" s="15">
        <v>156051</v>
      </c>
      <c r="G35" s="25">
        <v>219695</v>
      </c>
      <c r="H35" s="12" t="s">
        <v>32</v>
      </c>
      <c r="I35" s="12" t="s">
        <v>96</v>
      </c>
      <c r="J35" s="214"/>
      <c r="K35" s="215"/>
    </row>
    <row r="36" spans="1:11" ht="25.5" customHeight="1" x14ac:dyDescent="0.3">
      <c r="A36" s="37"/>
      <c r="B36" s="43" t="s">
        <v>15</v>
      </c>
      <c r="C36" s="42" t="s">
        <v>130</v>
      </c>
      <c r="D36" s="32">
        <v>43860</v>
      </c>
      <c r="E36" s="35">
        <v>44956</v>
      </c>
      <c r="F36" s="41">
        <v>50000</v>
      </c>
      <c r="G36" s="45">
        <v>60940</v>
      </c>
      <c r="H36" s="34" t="s">
        <v>89</v>
      </c>
      <c r="I36" s="38" t="s">
        <v>132</v>
      </c>
      <c r="J36" s="216" t="s">
        <v>159</v>
      </c>
      <c r="K36" s="217"/>
    </row>
    <row r="37" spans="1:11" ht="25.5" customHeight="1" x14ac:dyDescent="0.3">
      <c r="A37" s="13" t="s">
        <v>62</v>
      </c>
      <c r="B37" s="13" t="s">
        <v>15</v>
      </c>
      <c r="C37" s="14" t="s">
        <v>52</v>
      </c>
      <c r="D37" s="9">
        <v>44224</v>
      </c>
      <c r="E37" s="9">
        <v>44724</v>
      </c>
      <c r="F37" s="15">
        <v>47443</v>
      </c>
      <c r="G37" s="16">
        <v>50530</v>
      </c>
      <c r="H37" s="12" t="s">
        <v>42</v>
      </c>
      <c r="I37" s="12" t="s">
        <v>147</v>
      </c>
      <c r="J37" s="187" t="s">
        <v>53</v>
      </c>
      <c r="K37" s="188"/>
    </row>
    <row r="38" spans="1:11" ht="25.5" customHeight="1" x14ac:dyDescent="0.3">
      <c r="A38" s="13" t="s">
        <v>29</v>
      </c>
      <c r="B38" s="13" t="s">
        <v>15</v>
      </c>
      <c r="C38" s="14" t="s">
        <v>55</v>
      </c>
      <c r="D38" s="9">
        <v>43907</v>
      </c>
      <c r="E38" s="9">
        <v>45733</v>
      </c>
      <c r="F38" s="15">
        <v>44044</v>
      </c>
      <c r="G38" s="16">
        <v>61249</v>
      </c>
      <c r="H38" s="12" t="s">
        <v>32</v>
      </c>
      <c r="I38" s="12" t="s">
        <v>132</v>
      </c>
      <c r="J38" s="187" t="s">
        <v>56</v>
      </c>
      <c r="K38" s="188"/>
    </row>
    <row r="39" spans="1:11" ht="25.5" customHeight="1" x14ac:dyDescent="0.3">
      <c r="A39" s="13" t="s">
        <v>31</v>
      </c>
      <c r="B39" s="13" t="s">
        <v>15</v>
      </c>
      <c r="C39" s="14" t="s">
        <v>58</v>
      </c>
      <c r="D39" s="9">
        <v>44450</v>
      </c>
      <c r="E39" s="9">
        <v>44950</v>
      </c>
      <c r="F39" s="15">
        <v>40919</v>
      </c>
      <c r="G39" s="16">
        <v>43582</v>
      </c>
      <c r="H39" s="12" t="s">
        <v>42</v>
      </c>
      <c r="I39" s="12" t="s">
        <v>147</v>
      </c>
      <c r="J39" s="187" t="s">
        <v>59</v>
      </c>
      <c r="K39" s="188"/>
    </row>
    <row r="40" spans="1:11" ht="25.5" customHeight="1" x14ac:dyDescent="0.3">
      <c r="A40" s="13" t="s">
        <v>54</v>
      </c>
      <c r="B40" s="13" t="s">
        <v>15</v>
      </c>
      <c r="C40" s="14" t="s">
        <v>70</v>
      </c>
      <c r="D40" s="9">
        <v>44294</v>
      </c>
      <c r="E40" s="9">
        <f t="shared" ref="E40:E45" si="0">D40+500</f>
        <v>44794</v>
      </c>
      <c r="F40" s="15">
        <v>37199</v>
      </c>
      <c r="G40" s="16">
        <v>39619</v>
      </c>
      <c r="H40" s="12" t="s">
        <v>42</v>
      </c>
      <c r="I40" s="12" t="s">
        <v>147</v>
      </c>
      <c r="J40" s="187" t="s">
        <v>72</v>
      </c>
      <c r="K40" s="188"/>
    </row>
    <row r="41" spans="1:11" ht="25.5" customHeight="1" x14ac:dyDescent="0.3">
      <c r="A41" s="13" t="s">
        <v>57</v>
      </c>
      <c r="B41" s="13" t="s">
        <v>15</v>
      </c>
      <c r="C41" s="14" t="s">
        <v>99</v>
      </c>
      <c r="D41" s="9">
        <v>44645</v>
      </c>
      <c r="E41" s="9">
        <f t="shared" si="0"/>
        <v>45145</v>
      </c>
      <c r="F41" s="15">
        <v>36021</v>
      </c>
      <c r="G41" s="16">
        <v>38365</v>
      </c>
      <c r="H41" s="12" t="s">
        <v>42</v>
      </c>
      <c r="I41" s="12" t="s">
        <v>147</v>
      </c>
      <c r="J41" s="187" t="s">
        <v>100</v>
      </c>
      <c r="K41" s="188"/>
    </row>
    <row r="42" spans="1:11" ht="25.5" customHeight="1" x14ac:dyDescent="0.3">
      <c r="A42" s="13" t="s">
        <v>69</v>
      </c>
      <c r="B42" s="13" t="s">
        <v>15</v>
      </c>
      <c r="C42" s="14" t="s">
        <v>105</v>
      </c>
      <c r="D42" s="9">
        <v>44511</v>
      </c>
      <c r="E42" s="9">
        <f t="shared" si="0"/>
        <v>45011</v>
      </c>
      <c r="F42" s="15">
        <v>33014</v>
      </c>
      <c r="G42" s="16">
        <v>35162</v>
      </c>
      <c r="H42" s="12" t="s">
        <v>42</v>
      </c>
      <c r="I42" s="12" t="s">
        <v>147</v>
      </c>
      <c r="J42" s="187" t="s">
        <v>126</v>
      </c>
      <c r="K42" s="188"/>
    </row>
    <row r="43" spans="1:11" ht="25.5" customHeight="1" x14ac:dyDescent="0.3">
      <c r="A43" s="13" t="s">
        <v>97</v>
      </c>
      <c r="B43" s="13" t="s">
        <v>15</v>
      </c>
      <c r="C43" s="14" t="s">
        <v>135</v>
      </c>
      <c r="D43" s="9">
        <v>44399</v>
      </c>
      <c r="E43" s="9">
        <f t="shared" si="0"/>
        <v>44899</v>
      </c>
      <c r="F43" s="15">
        <v>30781</v>
      </c>
      <c r="G43" s="16">
        <v>32784</v>
      </c>
      <c r="H43" s="12" t="s">
        <v>42</v>
      </c>
      <c r="I43" s="12" t="s">
        <v>147</v>
      </c>
      <c r="J43" s="187" t="s">
        <v>136</v>
      </c>
      <c r="K43" s="188"/>
    </row>
    <row r="44" spans="1:11" ht="25.5" customHeight="1" x14ac:dyDescent="0.3">
      <c r="A44" s="13" t="s">
        <v>98</v>
      </c>
      <c r="B44" s="13" t="s">
        <v>15</v>
      </c>
      <c r="C44" s="14" t="s">
        <v>154</v>
      </c>
      <c r="D44" s="9">
        <v>44249</v>
      </c>
      <c r="E44" s="9">
        <f t="shared" si="0"/>
        <v>44749</v>
      </c>
      <c r="F44" s="15">
        <v>28224</v>
      </c>
      <c r="G44" s="16">
        <v>30060</v>
      </c>
      <c r="H44" s="12" t="s">
        <v>42</v>
      </c>
      <c r="I44" s="12" t="s">
        <v>147</v>
      </c>
      <c r="J44" s="187" t="s">
        <v>152</v>
      </c>
      <c r="K44" s="188"/>
    </row>
    <row r="45" spans="1:11" ht="25.5" customHeight="1" x14ac:dyDescent="0.3">
      <c r="A45" s="17" t="s">
        <v>134</v>
      </c>
      <c r="B45" s="17" t="s">
        <v>15</v>
      </c>
      <c r="C45" s="18" t="s">
        <v>163</v>
      </c>
      <c r="D45" s="19">
        <v>44628</v>
      </c>
      <c r="E45" s="19">
        <f t="shared" si="0"/>
        <v>45128</v>
      </c>
      <c r="F45" s="20">
        <v>28224</v>
      </c>
      <c r="G45" s="26">
        <v>30060</v>
      </c>
      <c r="H45" s="21" t="s">
        <v>42</v>
      </c>
      <c r="I45" s="21" t="s">
        <v>147</v>
      </c>
      <c r="J45" s="189" t="s">
        <v>162</v>
      </c>
      <c r="K45" s="190"/>
    </row>
  </sheetData>
  <mergeCells count="37">
    <mergeCell ref="J45:K45"/>
    <mergeCell ref="J30:K30"/>
    <mergeCell ref="J31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29:K29"/>
    <mergeCell ref="J16:K16"/>
    <mergeCell ref="J17:K17"/>
    <mergeCell ref="J18:K18"/>
    <mergeCell ref="J19:K19"/>
    <mergeCell ref="J20:K20"/>
    <mergeCell ref="J21:K21"/>
    <mergeCell ref="J22:K22"/>
    <mergeCell ref="J23:K23"/>
    <mergeCell ref="J25:K25"/>
    <mergeCell ref="A26:K26"/>
    <mergeCell ref="A28:K28"/>
    <mergeCell ref="J24:K24"/>
    <mergeCell ref="J15:K15"/>
    <mergeCell ref="A2:K2"/>
    <mergeCell ref="A4:K4"/>
    <mergeCell ref="A6:K6"/>
    <mergeCell ref="J7:K7"/>
    <mergeCell ref="J8:K8"/>
    <mergeCell ref="J9:K9"/>
    <mergeCell ref="J10:K10"/>
    <mergeCell ref="J11:K11"/>
    <mergeCell ref="J12:K12"/>
    <mergeCell ref="J13:K13"/>
    <mergeCell ref="J14:K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8"/>
  <sheetViews>
    <sheetView topLeftCell="A33" workbookViewId="0">
      <selection activeCell="J41" sqref="J41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6.664062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45.5546875" style="47" customWidth="1"/>
    <col min="11" max="16384" width="9.109375" style="47"/>
  </cols>
  <sheetData>
    <row r="1" spans="1:14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ht="17.399999999999999" x14ac:dyDescent="0.3">
      <c r="A2" s="180" t="s">
        <v>0</v>
      </c>
      <c r="B2" s="180"/>
      <c r="C2" s="180"/>
      <c r="D2" s="180"/>
      <c r="E2" s="180"/>
      <c r="F2" s="180"/>
      <c r="G2" s="180"/>
      <c r="H2" s="180"/>
      <c r="I2" s="180"/>
      <c r="J2" s="180"/>
    </row>
    <row r="3" spans="1:14" ht="17.399999999999999" x14ac:dyDescent="0.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4" x14ac:dyDescent="0.3">
      <c r="A4" s="181" t="s">
        <v>165</v>
      </c>
      <c r="B4" s="181"/>
      <c r="C4" s="181"/>
      <c r="D4" s="181"/>
      <c r="E4" s="181"/>
      <c r="F4" s="181"/>
      <c r="G4" s="181"/>
      <c r="H4" s="181"/>
      <c r="I4" s="181"/>
      <c r="J4" s="181"/>
    </row>
    <row r="5" spans="1:14" x14ac:dyDescent="0.3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4" ht="15.6" x14ac:dyDescent="0.3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</row>
    <row r="7" spans="1:14" ht="25.5" customHeight="1" x14ac:dyDescent="0.3">
      <c r="A7" s="4" t="s">
        <v>2</v>
      </c>
      <c r="B7" s="4" t="s">
        <v>3</v>
      </c>
      <c r="C7" s="4" t="s">
        <v>4</v>
      </c>
      <c r="D7" s="5" t="s">
        <v>5</v>
      </c>
      <c r="E7" s="4" t="s">
        <v>6</v>
      </c>
      <c r="F7" s="6" t="s">
        <v>7</v>
      </c>
      <c r="G7" s="4" t="s">
        <v>8</v>
      </c>
      <c r="H7" s="4" t="s">
        <v>9</v>
      </c>
      <c r="I7" s="4" t="s">
        <v>61</v>
      </c>
      <c r="J7" s="4" t="s">
        <v>10</v>
      </c>
    </row>
    <row r="8" spans="1:14" ht="25.5" customHeight="1" x14ac:dyDescent="0.3">
      <c r="A8" s="7" t="s">
        <v>11</v>
      </c>
      <c r="B8" s="7" t="s">
        <v>12</v>
      </c>
      <c r="C8" s="53" t="s">
        <v>74</v>
      </c>
      <c r="D8" s="22">
        <v>44751</v>
      </c>
      <c r="E8" s="22">
        <v>45116</v>
      </c>
      <c r="F8" s="57">
        <v>12840</v>
      </c>
      <c r="G8" s="58">
        <v>13527</v>
      </c>
      <c r="H8" s="24" t="s">
        <v>39</v>
      </c>
      <c r="I8" s="24" t="s">
        <v>145</v>
      </c>
      <c r="J8" s="24" t="s">
        <v>178</v>
      </c>
    </row>
    <row r="9" spans="1:14" ht="25.5" customHeight="1" x14ac:dyDescent="0.3">
      <c r="A9" s="13" t="s">
        <v>14</v>
      </c>
      <c r="B9" s="13" t="s">
        <v>12</v>
      </c>
      <c r="C9" s="54" t="s">
        <v>76</v>
      </c>
      <c r="D9" s="9">
        <v>44751</v>
      </c>
      <c r="E9" s="9">
        <v>45116</v>
      </c>
      <c r="F9" s="56">
        <v>25519</v>
      </c>
      <c r="G9" s="59">
        <v>26885</v>
      </c>
      <c r="H9" s="12" t="s">
        <v>39</v>
      </c>
      <c r="I9" s="12" t="s">
        <v>145</v>
      </c>
      <c r="J9" s="12" t="s">
        <v>179</v>
      </c>
    </row>
    <row r="10" spans="1:14" ht="25.5" customHeight="1" x14ac:dyDescent="0.3">
      <c r="A10" s="13" t="s">
        <v>17</v>
      </c>
      <c r="B10" s="13" t="s">
        <v>12</v>
      </c>
      <c r="C10" s="54" t="s">
        <v>77</v>
      </c>
      <c r="D10" s="9">
        <v>44741</v>
      </c>
      <c r="E10" s="9">
        <v>45106</v>
      </c>
      <c r="F10" s="56">
        <v>23320</v>
      </c>
      <c r="G10" s="59">
        <v>24569</v>
      </c>
      <c r="H10" s="12" t="s">
        <v>39</v>
      </c>
      <c r="I10" s="12" t="s">
        <v>145</v>
      </c>
      <c r="J10" s="12" t="s">
        <v>180</v>
      </c>
    </row>
    <row r="11" spans="1:14" ht="25.5" customHeight="1" x14ac:dyDescent="0.3">
      <c r="A11" s="13" t="s">
        <v>19</v>
      </c>
      <c r="B11" s="13" t="s">
        <v>12</v>
      </c>
      <c r="C11" s="54" t="s">
        <v>200</v>
      </c>
      <c r="D11" s="9">
        <v>44702</v>
      </c>
      <c r="E11" s="9">
        <f>D11+365</f>
        <v>45067</v>
      </c>
      <c r="F11" s="56">
        <v>21773</v>
      </c>
      <c r="G11" s="59">
        <v>22939</v>
      </c>
      <c r="H11" s="12" t="s">
        <v>39</v>
      </c>
      <c r="I11" s="12" t="s">
        <v>145</v>
      </c>
      <c r="J11" s="12" t="s">
        <v>181</v>
      </c>
    </row>
    <row r="12" spans="1:14" ht="34.950000000000003" customHeight="1" x14ac:dyDescent="0.3">
      <c r="A12" s="13" t="s">
        <v>21</v>
      </c>
      <c r="B12" s="13" t="s">
        <v>26</v>
      </c>
      <c r="C12" s="54" t="s">
        <v>201</v>
      </c>
      <c r="D12" s="9">
        <v>45003</v>
      </c>
      <c r="E12" s="9">
        <f>D12+365</f>
        <v>45368</v>
      </c>
      <c r="F12" s="59">
        <v>36251</v>
      </c>
      <c r="G12" s="59">
        <v>38825</v>
      </c>
      <c r="H12" s="12" t="s">
        <v>27</v>
      </c>
      <c r="I12" s="12" t="s">
        <v>217</v>
      </c>
      <c r="J12" s="12" t="s">
        <v>184</v>
      </c>
    </row>
    <row r="13" spans="1:14" ht="25.5" customHeight="1" x14ac:dyDescent="0.3">
      <c r="A13" s="13" t="s">
        <v>23</v>
      </c>
      <c r="B13" s="13" t="s">
        <v>12</v>
      </c>
      <c r="C13" s="54" t="s">
        <v>79</v>
      </c>
      <c r="D13" s="9">
        <v>44742</v>
      </c>
      <c r="E13" s="9">
        <v>45107</v>
      </c>
      <c r="F13" s="56">
        <v>19247</v>
      </c>
      <c r="G13" s="59">
        <v>20278</v>
      </c>
      <c r="H13" s="12" t="s">
        <v>39</v>
      </c>
      <c r="I13" s="12" t="s">
        <v>145</v>
      </c>
      <c r="J13" s="12" t="s">
        <v>182</v>
      </c>
      <c r="N13" s="47" t="s">
        <v>133</v>
      </c>
    </row>
    <row r="14" spans="1:14" ht="25.5" customHeight="1" x14ac:dyDescent="0.3">
      <c r="A14" s="13" t="s">
        <v>25</v>
      </c>
      <c r="B14" s="13" t="s">
        <v>12</v>
      </c>
      <c r="C14" s="54" t="s">
        <v>80</v>
      </c>
      <c r="D14" s="9">
        <v>44751</v>
      </c>
      <c r="E14" s="9">
        <v>45116</v>
      </c>
      <c r="F14" s="56">
        <v>15837</v>
      </c>
      <c r="G14" s="59">
        <v>16685</v>
      </c>
      <c r="H14" s="12" t="s">
        <v>39</v>
      </c>
      <c r="I14" s="12" t="s">
        <v>145</v>
      </c>
      <c r="J14" s="12" t="s">
        <v>183</v>
      </c>
    </row>
    <row r="15" spans="1:14" ht="25.5" customHeight="1" x14ac:dyDescent="0.3">
      <c r="A15" s="13" t="s">
        <v>29</v>
      </c>
      <c r="B15" s="13" t="s">
        <v>12</v>
      </c>
      <c r="C15" s="54" t="s">
        <v>198</v>
      </c>
      <c r="D15" s="9">
        <v>44670</v>
      </c>
      <c r="E15" s="9">
        <f>D15+365</f>
        <v>45035</v>
      </c>
      <c r="F15" s="56">
        <v>14867</v>
      </c>
      <c r="G15" s="56">
        <v>15663</v>
      </c>
      <c r="H15" s="12" t="s">
        <v>39</v>
      </c>
      <c r="I15" s="12" t="s">
        <v>145</v>
      </c>
      <c r="J15" s="12" t="s">
        <v>185</v>
      </c>
    </row>
    <row r="16" spans="1:14" ht="25.5" customHeight="1" x14ac:dyDescent="0.3">
      <c r="A16" s="13" t="s">
        <v>31</v>
      </c>
      <c r="B16" s="13" t="s">
        <v>12</v>
      </c>
      <c r="C16" s="54" t="s">
        <v>83</v>
      </c>
      <c r="D16" s="9">
        <v>45006</v>
      </c>
      <c r="E16" s="9">
        <v>45372</v>
      </c>
      <c r="F16" s="56">
        <v>13305</v>
      </c>
      <c r="G16" s="56">
        <v>14163</v>
      </c>
      <c r="H16" s="12" t="s">
        <v>39</v>
      </c>
      <c r="I16" s="12" t="s">
        <v>211</v>
      </c>
      <c r="J16" s="12" t="s">
        <v>186</v>
      </c>
    </row>
    <row r="17" spans="1:10" ht="25.2" customHeight="1" x14ac:dyDescent="0.3">
      <c r="A17" s="13" t="s">
        <v>34</v>
      </c>
      <c r="B17" s="13" t="s">
        <v>12</v>
      </c>
      <c r="C17" s="54" t="s">
        <v>85</v>
      </c>
      <c r="D17" s="9">
        <v>44829</v>
      </c>
      <c r="E17" s="9">
        <f>D17+365</f>
        <v>45194</v>
      </c>
      <c r="F17" s="56">
        <v>12508</v>
      </c>
      <c r="G17" s="56">
        <v>13308</v>
      </c>
      <c r="H17" s="12" t="s">
        <v>39</v>
      </c>
      <c r="I17" s="12" t="s">
        <v>146</v>
      </c>
      <c r="J17" s="12" t="s">
        <v>187</v>
      </c>
    </row>
    <row r="18" spans="1:10" ht="25.2" customHeight="1" x14ac:dyDescent="0.3">
      <c r="A18" s="13" t="s">
        <v>36</v>
      </c>
      <c r="B18" s="13" t="s">
        <v>12</v>
      </c>
      <c r="C18" s="54" t="s">
        <v>199</v>
      </c>
      <c r="D18" s="9">
        <v>44717</v>
      </c>
      <c r="E18" s="9">
        <v>45082</v>
      </c>
      <c r="F18" s="56">
        <v>11165</v>
      </c>
      <c r="G18" s="56">
        <v>11763</v>
      </c>
      <c r="H18" s="12" t="s">
        <v>39</v>
      </c>
      <c r="I18" s="12" t="s">
        <v>145</v>
      </c>
      <c r="J18" s="12" t="s">
        <v>188</v>
      </c>
    </row>
    <row r="19" spans="1:10" ht="25.2" customHeight="1" x14ac:dyDescent="0.3">
      <c r="A19" s="13" t="s">
        <v>38</v>
      </c>
      <c r="B19" s="13" t="s">
        <v>12</v>
      </c>
      <c r="C19" s="54" t="s">
        <v>202</v>
      </c>
      <c r="D19" s="9">
        <v>45007</v>
      </c>
      <c r="E19" s="9">
        <v>45373</v>
      </c>
      <c r="F19" s="56">
        <v>10637</v>
      </c>
      <c r="G19" s="56">
        <v>11323</v>
      </c>
      <c r="H19" s="12" t="s">
        <v>39</v>
      </c>
      <c r="I19" s="12" t="s">
        <v>211</v>
      </c>
      <c r="J19" s="12" t="s">
        <v>189</v>
      </c>
    </row>
    <row r="20" spans="1:10" ht="25.2" customHeight="1" x14ac:dyDescent="0.3">
      <c r="A20" s="13" t="s">
        <v>65</v>
      </c>
      <c r="B20" s="13" t="s">
        <v>12</v>
      </c>
      <c r="C20" s="54" t="s">
        <v>203</v>
      </c>
      <c r="D20" s="9">
        <v>44992</v>
      </c>
      <c r="E20" s="9">
        <v>45358</v>
      </c>
      <c r="F20" s="56">
        <v>9847</v>
      </c>
      <c r="G20" s="56">
        <v>10482</v>
      </c>
      <c r="H20" s="12" t="s">
        <v>39</v>
      </c>
      <c r="I20" s="12" t="s">
        <v>211</v>
      </c>
      <c r="J20" s="12" t="s">
        <v>190</v>
      </c>
    </row>
    <row r="21" spans="1:10" ht="25.2" customHeight="1" x14ac:dyDescent="0.3">
      <c r="A21" s="13" t="s">
        <v>87</v>
      </c>
      <c r="B21" s="13" t="s">
        <v>12</v>
      </c>
      <c r="C21" s="54" t="s">
        <v>88</v>
      </c>
      <c r="D21" s="9">
        <v>44241</v>
      </c>
      <c r="E21" s="9">
        <v>45336</v>
      </c>
      <c r="F21" s="56">
        <v>7929</v>
      </c>
      <c r="G21" s="56">
        <v>9204</v>
      </c>
      <c r="H21" s="12" t="s">
        <v>89</v>
      </c>
      <c r="I21" s="12" t="s">
        <v>149</v>
      </c>
      <c r="J21" s="12" t="s">
        <v>191</v>
      </c>
    </row>
    <row r="22" spans="1:10" ht="25.2" customHeight="1" x14ac:dyDescent="0.3">
      <c r="A22" s="13" t="s">
        <v>102</v>
      </c>
      <c r="B22" s="13" t="s">
        <v>12</v>
      </c>
      <c r="C22" s="54" t="s">
        <v>103</v>
      </c>
      <c r="D22" s="9">
        <v>44972</v>
      </c>
      <c r="E22" s="9">
        <v>45337</v>
      </c>
      <c r="F22" s="56">
        <v>8593</v>
      </c>
      <c r="G22" s="56">
        <v>9147</v>
      </c>
      <c r="H22" s="12" t="s">
        <v>39</v>
      </c>
      <c r="I22" s="12" t="s">
        <v>211</v>
      </c>
      <c r="J22" s="12" t="s">
        <v>192</v>
      </c>
    </row>
    <row r="23" spans="1:10" ht="25.2" customHeight="1" x14ac:dyDescent="0.3">
      <c r="A23" s="13" t="s">
        <v>139</v>
      </c>
      <c r="B23" s="13" t="s">
        <v>12</v>
      </c>
      <c r="C23" s="54" t="s">
        <v>140</v>
      </c>
      <c r="D23" s="9">
        <v>44631</v>
      </c>
      <c r="E23" s="9">
        <v>45362</v>
      </c>
      <c r="F23" s="56">
        <v>7665</v>
      </c>
      <c r="G23" s="56">
        <v>8508</v>
      </c>
      <c r="H23" s="12" t="s">
        <v>95</v>
      </c>
      <c r="I23" s="12" t="s">
        <v>145</v>
      </c>
      <c r="J23" s="12" t="s">
        <v>193</v>
      </c>
    </row>
    <row r="24" spans="1:10" ht="25.2" customHeight="1" x14ac:dyDescent="0.3">
      <c r="A24" s="13" t="s">
        <v>153</v>
      </c>
      <c r="B24" s="13" t="s">
        <v>12</v>
      </c>
      <c r="C24" s="54" t="s">
        <v>157</v>
      </c>
      <c r="D24" s="9">
        <v>44979</v>
      </c>
      <c r="E24" s="9">
        <v>45344</v>
      </c>
      <c r="F24" s="56">
        <v>7384</v>
      </c>
      <c r="G24" s="56">
        <v>7860</v>
      </c>
      <c r="H24" s="12" t="s">
        <v>39</v>
      </c>
      <c r="I24" s="12" t="s">
        <v>211</v>
      </c>
      <c r="J24" s="12" t="s">
        <v>196</v>
      </c>
    </row>
    <row r="25" spans="1:10" ht="25.2" customHeight="1" x14ac:dyDescent="0.3">
      <c r="A25" s="13" t="s">
        <v>160</v>
      </c>
      <c r="B25" s="13" t="s">
        <v>12</v>
      </c>
      <c r="C25" s="54" t="s">
        <v>164</v>
      </c>
      <c r="D25" s="9">
        <v>44993</v>
      </c>
      <c r="E25" s="9">
        <v>45359</v>
      </c>
      <c r="F25" s="56">
        <v>6991</v>
      </c>
      <c r="G25" s="56">
        <v>7442</v>
      </c>
      <c r="H25" s="12" t="s">
        <v>39</v>
      </c>
      <c r="I25" s="12" t="s">
        <v>211</v>
      </c>
      <c r="J25" s="12" t="s">
        <v>161</v>
      </c>
    </row>
    <row r="26" spans="1:10" ht="25.2" customHeight="1" x14ac:dyDescent="0.3">
      <c r="A26" s="17" t="s">
        <v>212</v>
      </c>
      <c r="B26" s="17" t="s">
        <v>12</v>
      </c>
      <c r="C26" s="55" t="s">
        <v>213</v>
      </c>
      <c r="D26" s="19">
        <v>44965</v>
      </c>
      <c r="E26" s="19">
        <v>45330</v>
      </c>
      <c r="F26" s="60">
        <v>6636</v>
      </c>
      <c r="G26" s="60">
        <v>7064</v>
      </c>
      <c r="H26" s="21" t="s">
        <v>39</v>
      </c>
      <c r="I26" s="21" t="s">
        <v>211</v>
      </c>
      <c r="J26" s="21" t="s">
        <v>220</v>
      </c>
    </row>
    <row r="27" spans="1:10" ht="15.6" x14ac:dyDescent="0.35">
      <c r="A27" s="204"/>
      <c r="B27" s="204"/>
      <c r="C27" s="204"/>
      <c r="D27" s="204"/>
      <c r="E27" s="204"/>
      <c r="F27" s="204"/>
      <c r="G27" s="204"/>
      <c r="H27" s="204"/>
      <c r="I27" s="204"/>
      <c r="J27" s="204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6" x14ac:dyDescent="0.35">
      <c r="A29" s="182" t="s">
        <v>204</v>
      </c>
      <c r="B29" s="185"/>
      <c r="C29" s="185"/>
      <c r="D29" s="185"/>
      <c r="E29" s="185"/>
      <c r="F29" s="185"/>
      <c r="G29" s="185"/>
      <c r="H29" s="185"/>
      <c r="I29" s="185"/>
      <c r="J29" s="185"/>
    </row>
    <row r="30" spans="1:10" ht="41.4" x14ac:dyDescent="0.3">
      <c r="A30" s="6" t="s">
        <v>2</v>
      </c>
      <c r="B30" s="6" t="s">
        <v>3</v>
      </c>
      <c r="C30" s="4" t="s">
        <v>4</v>
      </c>
      <c r="D30" s="5" t="s">
        <v>5</v>
      </c>
      <c r="E30" s="6" t="s">
        <v>6</v>
      </c>
      <c r="F30" s="6" t="s">
        <v>205</v>
      </c>
      <c r="G30" s="6" t="s">
        <v>8</v>
      </c>
      <c r="H30" s="6" t="s">
        <v>9</v>
      </c>
      <c r="I30" s="6" t="s">
        <v>61</v>
      </c>
      <c r="J30" s="6" t="s">
        <v>10</v>
      </c>
    </row>
    <row r="31" spans="1:10" ht="33" customHeight="1" x14ac:dyDescent="0.3">
      <c r="A31" s="7" t="s">
        <v>11</v>
      </c>
      <c r="B31" s="7" t="s">
        <v>26</v>
      </c>
      <c r="C31" s="8" t="s">
        <v>221</v>
      </c>
      <c r="D31" s="22">
        <v>43205</v>
      </c>
      <c r="E31" s="22">
        <v>45031</v>
      </c>
      <c r="F31" s="62">
        <v>156051</v>
      </c>
      <c r="G31" s="63">
        <v>219695</v>
      </c>
      <c r="H31" s="24" t="s">
        <v>32</v>
      </c>
      <c r="I31" s="24" t="s">
        <v>96</v>
      </c>
      <c r="J31" s="220" t="s">
        <v>93</v>
      </c>
    </row>
    <row r="32" spans="1:10" ht="22.95" customHeight="1" x14ac:dyDescent="0.3">
      <c r="A32" s="13" t="s">
        <v>14</v>
      </c>
      <c r="B32" s="13" t="s">
        <v>15</v>
      </c>
      <c r="C32" s="14" t="s">
        <v>47</v>
      </c>
      <c r="D32" s="9">
        <v>43212</v>
      </c>
      <c r="E32" s="9">
        <v>45038</v>
      </c>
      <c r="F32" s="64">
        <v>156051</v>
      </c>
      <c r="G32" s="65">
        <v>219695</v>
      </c>
      <c r="H32" s="12" t="s">
        <v>32</v>
      </c>
      <c r="I32" s="12" t="s">
        <v>96</v>
      </c>
      <c r="J32" s="221"/>
    </row>
    <row r="33" spans="1:10" ht="22.8" x14ac:dyDescent="0.3">
      <c r="A33" s="13" t="s">
        <v>17</v>
      </c>
      <c r="B33" s="13" t="s">
        <v>15</v>
      </c>
      <c r="C33" s="14" t="s">
        <v>48</v>
      </c>
      <c r="D33" s="9">
        <v>43212</v>
      </c>
      <c r="E33" s="9">
        <v>45038</v>
      </c>
      <c r="F33" s="64">
        <v>156051</v>
      </c>
      <c r="G33" s="65">
        <v>219695</v>
      </c>
      <c r="H33" s="12" t="s">
        <v>32</v>
      </c>
      <c r="I33" s="12" t="s">
        <v>96</v>
      </c>
      <c r="J33" s="221"/>
    </row>
    <row r="34" spans="1:10" ht="22.8" x14ac:dyDescent="0.3">
      <c r="A34" s="13" t="s">
        <v>19</v>
      </c>
      <c r="B34" s="13" t="s">
        <v>15</v>
      </c>
      <c r="C34" s="14" t="s">
        <v>49</v>
      </c>
      <c r="D34" s="9">
        <v>43212</v>
      </c>
      <c r="E34" s="9">
        <v>45038</v>
      </c>
      <c r="F34" s="64">
        <v>156051</v>
      </c>
      <c r="G34" s="65">
        <v>219695</v>
      </c>
      <c r="H34" s="12" t="s">
        <v>32</v>
      </c>
      <c r="I34" s="12" t="s">
        <v>96</v>
      </c>
      <c r="J34" s="221"/>
    </row>
    <row r="35" spans="1:10" ht="22.8" x14ac:dyDescent="0.3">
      <c r="A35" s="13" t="s">
        <v>21</v>
      </c>
      <c r="B35" s="13" t="s">
        <v>15</v>
      </c>
      <c r="C35" s="14" t="s">
        <v>50</v>
      </c>
      <c r="D35" s="9">
        <v>43212</v>
      </c>
      <c r="E35" s="9">
        <v>45038</v>
      </c>
      <c r="F35" s="64">
        <v>156051</v>
      </c>
      <c r="G35" s="65">
        <v>219695</v>
      </c>
      <c r="H35" s="12" t="s">
        <v>32</v>
      </c>
      <c r="I35" s="12" t="s">
        <v>96</v>
      </c>
      <c r="J35" s="221"/>
    </row>
    <row r="36" spans="1:10" ht="57" x14ac:dyDescent="0.3">
      <c r="A36" s="13" t="s">
        <v>23</v>
      </c>
      <c r="B36" s="13" t="s">
        <v>15</v>
      </c>
      <c r="C36" s="14" t="s">
        <v>197</v>
      </c>
      <c r="D36" s="9">
        <v>44652</v>
      </c>
      <c r="E36" s="9">
        <v>45152</v>
      </c>
      <c r="F36" s="64">
        <v>55218</v>
      </c>
      <c r="G36" s="64">
        <v>58811</v>
      </c>
      <c r="H36" s="12" t="s">
        <v>42</v>
      </c>
      <c r="I36" s="12" t="s">
        <v>147</v>
      </c>
      <c r="J36" s="61" t="s">
        <v>195</v>
      </c>
    </row>
    <row r="37" spans="1:10" ht="25.2" customHeight="1" x14ac:dyDescent="0.3">
      <c r="A37" s="13" t="s">
        <v>62</v>
      </c>
      <c r="B37" s="13" t="s">
        <v>15</v>
      </c>
      <c r="C37" s="14" t="s">
        <v>52</v>
      </c>
      <c r="D37" s="9">
        <v>44724</v>
      </c>
      <c r="E37" s="66">
        <f>D37+500</f>
        <v>45224</v>
      </c>
      <c r="F37" s="64">
        <v>50274</v>
      </c>
      <c r="G37" s="65">
        <v>53545</v>
      </c>
      <c r="H37" s="12" t="s">
        <v>42</v>
      </c>
      <c r="I37" s="12" t="s">
        <v>147</v>
      </c>
      <c r="J37" s="12" t="s">
        <v>171</v>
      </c>
    </row>
    <row r="38" spans="1:10" ht="25.2" customHeight="1" x14ac:dyDescent="0.3">
      <c r="A38" s="13" t="s">
        <v>29</v>
      </c>
      <c r="B38" s="13" t="s">
        <v>15</v>
      </c>
      <c r="C38" s="14" t="s">
        <v>55</v>
      </c>
      <c r="D38" s="9">
        <v>43907</v>
      </c>
      <c r="E38" s="66">
        <v>45733</v>
      </c>
      <c r="F38" s="64">
        <v>44044</v>
      </c>
      <c r="G38" s="65">
        <v>61249</v>
      </c>
      <c r="H38" s="12" t="s">
        <v>32</v>
      </c>
      <c r="I38" s="12" t="s">
        <v>132</v>
      </c>
      <c r="J38" s="12" t="s">
        <v>172</v>
      </c>
    </row>
    <row r="39" spans="1:10" ht="25.2" customHeight="1" x14ac:dyDescent="0.3">
      <c r="A39" s="37" t="s">
        <v>106</v>
      </c>
      <c r="B39" s="43" t="s">
        <v>15</v>
      </c>
      <c r="C39" s="42" t="s">
        <v>58</v>
      </c>
      <c r="D39" s="32">
        <v>44450</v>
      </c>
      <c r="E39" s="69">
        <f t="shared" ref="E39:E46" si="0">D39+500</f>
        <v>44950</v>
      </c>
      <c r="F39" s="71">
        <v>40919</v>
      </c>
      <c r="G39" s="70">
        <v>43582</v>
      </c>
      <c r="H39" s="34" t="s">
        <v>42</v>
      </c>
      <c r="I39" s="38" t="s">
        <v>147</v>
      </c>
      <c r="J39" s="34" t="s">
        <v>207</v>
      </c>
    </row>
    <row r="40" spans="1:10" ht="25.2" customHeight="1" x14ac:dyDescent="0.3">
      <c r="A40" s="13" t="s">
        <v>31</v>
      </c>
      <c r="B40" s="13" t="s">
        <v>15</v>
      </c>
      <c r="C40" s="14" t="s">
        <v>208</v>
      </c>
      <c r="D40" s="66">
        <v>44950</v>
      </c>
      <c r="E40" s="66">
        <f>D40+271</f>
        <v>45221</v>
      </c>
      <c r="F40" s="64">
        <v>43223</v>
      </c>
      <c r="G40" s="65">
        <f>(F40+(F40*5.25%)/(365/271))</f>
        <v>44907.808856164382</v>
      </c>
      <c r="H40" s="12" t="s">
        <v>209</v>
      </c>
      <c r="I40" s="12" t="s">
        <v>145</v>
      </c>
      <c r="J40" s="12" t="s">
        <v>210</v>
      </c>
    </row>
    <row r="41" spans="1:10" ht="25.2" customHeight="1" x14ac:dyDescent="0.3">
      <c r="A41" s="13" t="s">
        <v>54</v>
      </c>
      <c r="B41" s="13" t="s">
        <v>15</v>
      </c>
      <c r="C41" s="14" t="s">
        <v>70</v>
      </c>
      <c r="D41" s="9">
        <v>44794</v>
      </c>
      <c r="E41" s="66">
        <f t="shared" si="0"/>
        <v>45294</v>
      </c>
      <c r="F41" s="64">
        <v>39394</v>
      </c>
      <c r="G41" s="65">
        <v>41957</v>
      </c>
      <c r="H41" s="12" t="s">
        <v>42</v>
      </c>
      <c r="I41" s="12" t="s">
        <v>147</v>
      </c>
      <c r="J41" s="12" t="s">
        <v>173</v>
      </c>
    </row>
    <row r="42" spans="1:10" ht="25.2" customHeight="1" x14ac:dyDescent="0.3">
      <c r="A42" s="13" t="s">
        <v>57</v>
      </c>
      <c r="B42" s="13" t="s">
        <v>15</v>
      </c>
      <c r="C42" s="14" t="s">
        <v>99</v>
      </c>
      <c r="D42" s="9">
        <v>44645</v>
      </c>
      <c r="E42" s="66">
        <f t="shared" si="0"/>
        <v>45145</v>
      </c>
      <c r="F42" s="64">
        <v>36021</v>
      </c>
      <c r="G42" s="65">
        <v>38365</v>
      </c>
      <c r="H42" s="12" t="s">
        <v>42</v>
      </c>
      <c r="I42" s="12" t="s">
        <v>147</v>
      </c>
      <c r="J42" s="12" t="s">
        <v>174</v>
      </c>
    </row>
    <row r="43" spans="1:10" ht="25.2" customHeight="1" x14ac:dyDescent="0.3">
      <c r="A43" s="37" t="s">
        <v>106</v>
      </c>
      <c r="B43" s="43" t="s">
        <v>15</v>
      </c>
      <c r="C43" s="42" t="s">
        <v>105</v>
      </c>
      <c r="D43" s="32">
        <v>44511</v>
      </c>
      <c r="E43" s="69">
        <f t="shared" si="0"/>
        <v>45011</v>
      </c>
      <c r="F43" s="71">
        <v>33014</v>
      </c>
      <c r="G43" s="70">
        <v>35162</v>
      </c>
      <c r="H43" s="34" t="s">
        <v>42</v>
      </c>
      <c r="I43" s="38" t="s">
        <v>147</v>
      </c>
      <c r="J43" s="34" t="s">
        <v>175</v>
      </c>
    </row>
    <row r="44" spans="1:10" ht="25.2" customHeight="1" x14ac:dyDescent="0.3">
      <c r="A44" s="13" t="s">
        <v>69</v>
      </c>
      <c r="B44" s="13" t="s">
        <v>15</v>
      </c>
      <c r="C44" s="14" t="s">
        <v>219</v>
      </c>
      <c r="D44" s="66">
        <v>45012</v>
      </c>
      <c r="E44" s="66">
        <f>D44+271</f>
        <v>45283</v>
      </c>
      <c r="F44" s="64">
        <v>34948</v>
      </c>
      <c r="G44" s="65">
        <v>36505</v>
      </c>
      <c r="H44" s="12" t="s">
        <v>209</v>
      </c>
      <c r="I44" s="12" t="s">
        <v>148</v>
      </c>
      <c r="J44" s="12" t="s">
        <v>218</v>
      </c>
    </row>
    <row r="45" spans="1:10" ht="25.2" customHeight="1" x14ac:dyDescent="0.3">
      <c r="A45" s="13" t="s">
        <v>97</v>
      </c>
      <c r="B45" s="13" t="s">
        <v>15</v>
      </c>
      <c r="C45" s="14" t="s">
        <v>135</v>
      </c>
      <c r="D45" s="9">
        <v>37594</v>
      </c>
      <c r="E45" s="66">
        <f>D45+500</f>
        <v>38094</v>
      </c>
      <c r="F45" s="64">
        <v>32458</v>
      </c>
      <c r="G45" s="65">
        <v>34748</v>
      </c>
      <c r="H45" s="12" t="s">
        <v>42</v>
      </c>
      <c r="I45" s="12" t="s">
        <v>206</v>
      </c>
      <c r="J45" s="12" t="s">
        <v>176</v>
      </c>
    </row>
    <row r="46" spans="1:10" ht="25.2" customHeight="1" x14ac:dyDescent="0.3">
      <c r="A46" s="13" t="s">
        <v>98</v>
      </c>
      <c r="B46" s="13" t="s">
        <v>15</v>
      </c>
      <c r="C46" s="14" t="s">
        <v>154</v>
      </c>
      <c r="D46" s="9">
        <v>44749</v>
      </c>
      <c r="E46" s="66">
        <f t="shared" si="0"/>
        <v>45249</v>
      </c>
      <c r="F46" s="64">
        <v>29913</v>
      </c>
      <c r="G46" s="65">
        <v>31859</v>
      </c>
      <c r="H46" s="12" t="s">
        <v>42</v>
      </c>
      <c r="I46" s="12" t="s">
        <v>147</v>
      </c>
      <c r="J46" s="12" t="s">
        <v>177</v>
      </c>
    </row>
    <row r="47" spans="1:10" ht="25.2" customHeight="1" x14ac:dyDescent="0.3">
      <c r="A47" s="13" t="s">
        <v>134</v>
      </c>
      <c r="B47" s="13" t="s">
        <v>15</v>
      </c>
      <c r="C47" s="14" t="s">
        <v>163</v>
      </c>
      <c r="D47" s="9">
        <v>44628</v>
      </c>
      <c r="E47" s="66">
        <f t="shared" ref="E47" si="1">D47+500</f>
        <v>45128</v>
      </c>
      <c r="F47" s="64">
        <v>28224</v>
      </c>
      <c r="G47" s="65">
        <v>30060</v>
      </c>
      <c r="H47" s="12" t="s">
        <v>42</v>
      </c>
      <c r="I47" s="12" t="s">
        <v>147</v>
      </c>
      <c r="J47" s="12" t="s">
        <v>162</v>
      </c>
    </row>
    <row r="48" spans="1:10" ht="25.2" customHeight="1" x14ac:dyDescent="0.3">
      <c r="A48" s="17" t="s">
        <v>214</v>
      </c>
      <c r="B48" s="17" t="s">
        <v>15</v>
      </c>
      <c r="C48" s="18" t="s">
        <v>215</v>
      </c>
      <c r="D48" s="19">
        <v>44991</v>
      </c>
      <c r="E48" s="19">
        <v>45357</v>
      </c>
      <c r="F48" s="67">
        <v>28224</v>
      </c>
      <c r="G48" s="68">
        <v>30060</v>
      </c>
      <c r="H48" s="21" t="s">
        <v>39</v>
      </c>
      <c r="I48" s="21" t="s">
        <v>62</v>
      </c>
      <c r="J48" s="21" t="s">
        <v>216</v>
      </c>
    </row>
  </sheetData>
  <mergeCells count="6">
    <mergeCell ref="J31:J35"/>
    <mergeCell ref="A29:J29"/>
    <mergeCell ref="A27:J27"/>
    <mergeCell ref="A2:J2"/>
    <mergeCell ref="A4:J4"/>
    <mergeCell ref="A6:J6"/>
  </mergeCells>
  <pageMargins left="0.7" right="0.7" top="0.75" bottom="0.75" header="0.3" footer="0.3"/>
  <pageSetup paperSize="9" scale="79" orientation="landscape" r:id="rId1"/>
  <rowBreaks count="1" manualBreakCount="1">
    <brk id="27" max="16383" man="1"/>
  </rowBreaks>
  <colBreaks count="1" manualBreakCount="1">
    <brk id="10" max="1048575" man="1"/>
  </colBreaks>
  <ignoredErrors>
    <ignoredError sqref="E4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0"/>
  <sheetViews>
    <sheetView topLeftCell="A40" workbookViewId="0">
      <selection activeCell="J39" sqref="J39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8.55468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45.5546875" style="47" customWidth="1"/>
    <col min="11" max="16384" width="9.109375" style="47"/>
  </cols>
  <sheetData>
    <row r="1" spans="1:14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ht="17.399999999999999" x14ac:dyDescent="0.3">
      <c r="A2" s="180" t="s">
        <v>0</v>
      </c>
      <c r="B2" s="180"/>
      <c r="C2" s="180"/>
      <c r="D2" s="180"/>
      <c r="E2" s="180"/>
      <c r="F2" s="180"/>
      <c r="G2" s="180"/>
      <c r="H2" s="180"/>
      <c r="I2" s="180"/>
      <c r="J2" s="180"/>
    </row>
    <row r="3" spans="1:14" ht="17.399999999999999" x14ac:dyDescent="0.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4" x14ac:dyDescent="0.3">
      <c r="A4" s="181" t="s">
        <v>222</v>
      </c>
      <c r="B4" s="181"/>
      <c r="C4" s="181"/>
      <c r="D4" s="181"/>
      <c r="E4" s="181"/>
      <c r="F4" s="181"/>
      <c r="G4" s="181"/>
      <c r="H4" s="181"/>
      <c r="I4" s="181"/>
      <c r="J4" s="181"/>
    </row>
    <row r="5" spans="1:14" x14ac:dyDescent="0.3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4" ht="15.6" x14ac:dyDescent="0.3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</row>
    <row r="7" spans="1:14" ht="25.5" customHeight="1" x14ac:dyDescent="0.3">
      <c r="A7" s="4" t="s">
        <v>2</v>
      </c>
      <c r="B7" s="4" t="s">
        <v>3</v>
      </c>
      <c r="C7" s="4" t="s">
        <v>4</v>
      </c>
      <c r="D7" s="5" t="s">
        <v>5</v>
      </c>
      <c r="E7" s="4" t="s">
        <v>6</v>
      </c>
      <c r="F7" s="6" t="s">
        <v>7</v>
      </c>
      <c r="G7" s="4" t="s">
        <v>8</v>
      </c>
      <c r="H7" s="4" t="s">
        <v>9</v>
      </c>
      <c r="I7" s="4" t="s">
        <v>61</v>
      </c>
      <c r="J7" s="4" t="s">
        <v>10</v>
      </c>
    </row>
    <row r="8" spans="1:14" ht="25.5" customHeight="1" x14ac:dyDescent="0.3">
      <c r="A8" s="7" t="s">
        <v>11</v>
      </c>
      <c r="B8" s="7" t="s">
        <v>12</v>
      </c>
      <c r="C8" s="53" t="s">
        <v>74</v>
      </c>
      <c r="D8" s="22">
        <v>45116</v>
      </c>
      <c r="E8" s="9">
        <f t="shared" ref="E8:E9" si="0">D8+366</f>
        <v>45482</v>
      </c>
      <c r="F8" s="57">
        <v>13527</v>
      </c>
      <c r="G8" s="58">
        <v>14535</v>
      </c>
      <c r="H8" s="24" t="s">
        <v>39</v>
      </c>
      <c r="I8" s="24" t="s">
        <v>71</v>
      </c>
      <c r="J8" s="24" t="s">
        <v>178</v>
      </c>
    </row>
    <row r="9" spans="1:14" ht="25.5" customHeight="1" x14ac:dyDescent="0.3">
      <c r="A9" s="13" t="s">
        <v>14</v>
      </c>
      <c r="B9" s="13" t="s">
        <v>12</v>
      </c>
      <c r="C9" s="54" t="s">
        <v>76</v>
      </c>
      <c r="D9" s="9">
        <v>45116</v>
      </c>
      <c r="E9" s="9">
        <f t="shared" si="0"/>
        <v>45482</v>
      </c>
      <c r="F9" s="56">
        <v>26885</v>
      </c>
      <c r="G9" s="59">
        <v>28888</v>
      </c>
      <c r="H9" s="12" t="s">
        <v>39</v>
      </c>
      <c r="I9" s="12" t="s">
        <v>71</v>
      </c>
      <c r="J9" s="12" t="s">
        <v>179</v>
      </c>
    </row>
    <row r="10" spans="1:14" ht="25.5" customHeight="1" x14ac:dyDescent="0.3">
      <c r="A10" s="13" t="s">
        <v>17</v>
      </c>
      <c r="B10" s="13" t="s">
        <v>12</v>
      </c>
      <c r="C10" s="54" t="s">
        <v>77</v>
      </c>
      <c r="D10" s="9">
        <v>45106</v>
      </c>
      <c r="E10" s="9">
        <f>D10+366</f>
        <v>45472</v>
      </c>
      <c r="F10" s="56">
        <v>24569</v>
      </c>
      <c r="G10" s="59">
        <v>26399</v>
      </c>
      <c r="H10" s="12" t="s">
        <v>39</v>
      </c>
      <c r="I10" s="12" t="s">
        <v>71</v>
      </c>
      <c r="J10" s="12" t="s">
        <v>180</v>
      </c>
    </row>
    <row r="11" spans="1:14" ht="25.5" customHeight="1" x14ac:dyDescent="0.3">
      <c r="A11" s="13" t="s">
        <v>19</v>
      </c>
      <c r="B11" s="13" t="s">
        <v>12</v>
      </c>
      <c r="C11" s="54" t="s">
        <v>200</v>
      </c>
      <c r="D11" s="9">
        <v>45067</v>
      </c>
      <c r="E11" s="9">
        <v>45433</v>
      </c>
      <c r="F11" s="56">
        <v>22939</v>
      </c>
      <c r="G11" s="59">
        <v>24587</v>
      </c>
      <c r="H11" s="12" t="s">
        <v>39</v>
      </c>
      <c r="I11" s="12" t="s">
        <v>230</v>
      </c>
      <c r="J11" s="12" t="s">
        <v>181</v>
      </c>
    </row>
    <row r="12" spans="1:14" ht="34.950000000000003" customHeight="1" x14ac:dyDescent="0.3">
      <c r="A12" s="13" t="s">
        <v>21</v>
      </c>
      <c r="B12" s="13" t="s">
        <v>26</v>
      </c>
      <c r="C12" s="54" t="s">
        <v>201</v>
      </c>
      <c r="D12" s="9">
        <v>45368</v>
      </c>
      <c r="E12" s="9">
        <f>D12+365</f>
        <v>45733</v>
      </c>
      <c r="F12" s="59">
        <v>38615</v>
      </c>
      <c r="G12" s="59">
        <v>41357</v>
      </c>
      <c r="H12" s="12" t="s">
        <v>27</v>
      </c>
      <c r="I12" s="12" t="s">
        <v>217</v>
      </c>
      <c r="J12" s="12" t="s">
        <v>184</v>
      </c>
    </row>
    <row r="13" spans="1:14" ht="25.5" customHeight="1" x14ac:dyDescent="0.3">
      <c r="A13" s="13" t="s">
        <v>23</v>
      </c>
      <c r="B13" s="13" t="s">
        <v>12</v>
      </c>
      <c r="C13" s="54" t="s">
        <v>79</v>
      </c>
      <c r="D13" s="9">
        <v>45107</v>
      </c>
      <c r="E13" s="9">
        <f>D13+366</f>
        <v>45473</v>
      </c>
      <c r="F13" s="56">
        <v>20278</v>
      </c>
      <c r="G13" s="59">
        <v>21789</v>
      </c>
      <c r="H13" s="12" t="s">
        <v>39</v>
      </c>
      <c r="I13" s="12" t="s">
        <v>71</v>
      </c>
      <c r="J13" s="12" t="s">
        <v>182</v>
      </c>
      <c r="N13" s="47" t="s">
        <v>133</v>
      </c>
    </row>
    <row r="14" spans="1:14" ht="25.5" customHeight="1" x14ac:dyDescent="0.3">
      <c r="A14" s="13" t="s">
        <v>25</v>
      </c>
      <c r="B14" s="13" t="s">
        <v>12</v>
      </c>
      <c r="C14" s="54" t="s">
        <v>80</v>
      </c>
      <c r="D14" s="9">
        <v>45116</v>
      </c>
      <c r="E14" s="9">
        <f t="shared" ref="E14" si="1">D14+366</f>
        <v>45482</v>
      </c>
      <c r="F14" s="56">
        <v>16685</v>
      </c>
      <c r="G14" s="59">
        <v>17928</v>
      </c>
      <c r="H14" s="12" t="s">
        <v>39</v>
      </c>
      <c r="I14" s="12" t="s">
        <v>71</v>
      </c>
      <c r="J14" s="12" t="s">
        <v>183</v>
      </c>
    </row>
    <row r="15" spans="1:14" ht="25.5" customHeight="1" x14ac:dyDescent="0.3">
      <c r="A15" s="13" t="s">
        <v>29</v>
      </c>
      <c r="B15" s="13" t="s">
        <v>12</v>
      </c>
      <c r="C15" s="54" t="s">
        <v>198</v>
      </c>
      <c r="D15" s="9">
        <v>45035</v>
      </c>
      <c r="E15" s="9">
        <v>45401</v>
      </c>
      <c r="F15" s="56">
        <v>15663</v>
      </c>
      <c r="G15" s="56">
        <v>16673</v>
      </c>
      <c r="H15" s="12" t="s">
        <v>39</v>
      </c>
      <c r="I15" s="12" t="s">
        <v>211</v>
      </c>
      <c r="J15" s="12" t="s">
        <v>185</v>
      </c>
    </row>
    <row r="16" spans="1:14" ht="25.5" customHeight="1" x14ac:dyDescent="0.3">
      <c r="A16" s="13" t="s">
        <v>31</v>
      </c>
      <c r="B16" s="13" t="s">
        <v>12</v>
      </c>
      <c r="C16" s="54" t="s">
        <v>83</v>
      </c>
      <c r="D16" s="9">
        <v>45006</v>
      </c>
      <c r="E16" s="9">
        <v>45372</v>
      </c>
      <c r="F16" s="56">
        <v>13305</v>
      </c>
      <c r="G16" s="56">
        <v>14163</v>
      </c>
      <c r="H16" s="12" t="s">
        <v>39</v>
      </c>
      <c r="I16" s="12" t="s">
        <v>211</v>
      </c>
      <c r="J16" s="12" t="s">
        <v>186</v>
      </c>
    </row>
    <row r="17" spans="1:10" ht="45.6" x14ac:dyDescent="0.3">
      <c r="A17" s="13" t="s">
        <v>34</v>
      </c>
      <c r="B17" s="13" t="s">
        <v>12</v>
      </c>
      <c r="C17" s="54" t="s">
        <v>232</v>
      </c>
      <c r="D17" s="9">
        <v>45194</v>
      </c>
      <c r="E17" s="9">
        <f>D17+366</f>
        <v>45560</v>
      </c>
      <c r="F17" s="56">
        <v>13308</v>
      </c>
      <c r="G17" s="56">
        <v>14299</v>
      </c>
      <c r="H17" s="12" t="s">
        <v>39</v>
      </c>
      <c r="I17" s="12" t="s">
        <v>71</v>
      </c>
      <c r="J17" s="12" t="s">
        <v>187</v>
      </c>
    </row>
    <row r="18" spans="1:10" ht="34.200000000000003" x14ac:dyDescent="0.3">
      <c r="A18" s="13" t="s">
        <v>36</v>
      </c>
      <c r="B18" s="13" t="s">
        <v>12</v>
      </c>
      <c r="C18" s="54" t="s">
        <v>233</v>
      </c>
      <c r="D18" s="9">
        <v>45082</v>
      </c>
      <c r="E18" s="9">
        <v>45448</v>
      </c>
      <c r="F18" s="56">
        <v>11763</v>
      </c>
      <c r="G18" s="56">
        <v>12627</v>
      </c>
      <c r="H18" s="12" t="s">
        <v>39</v>
      </c>
      <c r="I18" s="12" t="s">
        <v>231</v>
      </c>
      <c r="J18" s="12" t="s">
        <v>188</v>
      </c>
    </row>
    <row r="19" spans="1:10" ht="22.8" x14ac:dyDescent="0.3">
      <c r="A19" s="13" t="s">
        <v>38</v>
      </c>
      <c r="B19" s="13" t="s">
        <v>12</v>
      </c>
      <c r="C19" s="54" t="s">
        <v>229</v>
      </c>
      <c r="D19" s="9">
        <v>45007</v>
      </c>
      <c r="E19" s="9">
        <v>45373</v>
      </c>
      <c r="F19" s="56">
        <v>10637</v>
      </c>
      <c r="G19" s="56">
        <v>11323</v>
      </c>
      <c r="H19" s="12" t="s">
        <v>39</v>
      </c>
      <c r="I19" s="12" t="s">
        <v>211</v>
      </c>
      <c r="J19" s="12" t="s">
        <v>189</v>
      </c>
    </row>
    <row r="20" spans="1:10" ht="22.8" x14ac:dyDescent="0.3">
      <c r="A20" s="13" t="s">
        <v>65</v>
      </c>
      <c r="B20" s="13" t="s">
        <v>12</v>
      </c>
      <c r="C20" s="54" t="s">
        <v>228</v>
      </c>
      <c r="D20" s="9">
        <v>44992</v>
      </c>
      <c r="E20" s="9">
        <v>45358</v>
      </c>
      <c r="F20" s="56">
        <v>9847</v>
      </c>
      <c r="G20" s="56">
        <v>10482</v>
      </c>
      <c r="H20" s="12" t="s">
        <v>39</v>
      </c>
      <c r="I20" s="12" t="s">
        <v>211</v>
      </c>
      <c r="J20" s="12" t="s">
        <v>190</v>
      </c>
    </row>
    <row r="21" spans="1:10" ht="34.200000000000003" x14ac:dyDescent="0.3">
      <c r="A21" s="13" t="s">
        <v>87</v>
      </c>
      <c r="B21" s="13" t="s">
        <v>12</v>
      </c>
      <c r="C21" s="54" t="s">
        <v>88</v>
      </c>
      <c r="D21" s="9">
        <v>44241</v>
      </c>
      <c r="E21" s="9">
        <v>45336</v>
      </c>
      <c r="F21" s="56">
        <v>7929</v>
      </c>
      <c r="G21" s="56">
        <v>9204</v>
      </c>
      <c r="H21" s="12" t="s">
        <v>89</v>
      </c>
      <c r="I21" s="12" t="s">
        <v>149</v>
      </c>
      <c r="J21" s="12" t="s">
        <v>191</v>
      </c>
    </row>
    <row r="22" spans="1:10" ht="22.8" x14ac:dyDescent="0.3">
      <c r="A22" s="13" t="s">
        <v>102</v>
      </c>
      <c r="B22" s="13" t="s">
        <v>12</v>
      </c>
      <c r="C22" s="54" t="s">
        <v>103</v>
      </c>
      <c r="D22" s="9">
        <v>44972</v>
      </c>
      <c r="E22" s="9">
        <v>45337</v>
      </c>
      <c r="F22" s="56">
        <v>8593</v>
      </c>
      <c r="G22" s="56">
        <v>9147</v>
      </c>
      <c r="H22" s="12" t="s">
        <v>39</v>
      </c>
      <c r="I22" s="12" t="s">
        <v>211</v>
      </c>
      <c r="J22" s="12" t="s">
        <v>192</v>
      </c>
    </row>
    <row r="23" spans="1:10" ht="22.8" x14ac:dyDescent="0.3">
      <c r="A23" s="13" t="s">
        <v>139</v>
      </c>
      <c r="B23" s="13" t="s">
        <v>12</v>
      </c>
      <c r="C23" s="54" t="s">
        <v>140</v>
      </c>
      <c r="D23" s="9">
        <v>44631</v>
      </c>
      <c r="E23" s="9">
        <v>45362</v>
      </c>
      <c r="F23" s="56">
        <v>7665</v>
      </c>
      <c r="G23" s="56">
        <v>8508</v>
      </c>
      <c r="H23" s="12" t="s">
        <v>95</v>
      </c>
      <c r="I23" s="12" t="s">
        <v>145</v>
      </c>
      <c r="J23" s="12" t="s">
        <v>193</v>
      </c>
    </row>
    <row r="24" spans="1:10" ht="34.200000000000003" x14ac:dyDescent="0.3">
      <c r="A24" s="13" t="s">
        <v>153</v>
      </c>
      <c r="B24" s="13" t="s">
        <v>12</v>
      </c>
      <c r="C24" s="54" t="s">
        <v>157</v>
      </c>
      <c r="D24" s="9">
        <v>44979</v>
      </c>
      <c r="E24" s="9">
        <v>45344</v>
      </c>
      <c r="F24" s="56">
        <v>7384</v>
      </c>
      <c r="G24" s="56">
        <v>7860</v>
      </c>
      <c r="H24" s="12" t="s">
        <v>39</v>
      </c>
      <c r="I24" s="12" t="s">
        <v>211</v>
      </c>
      <c r="J24" s="12" t="s">
        <v>196</v>
      </c>
    </row>
    <row r="25" spans="1:10" ht="22.8" x14ac:dyDescent="0.3">
      <c r="A25" s="13" t="s">
        <v>160</v>
      </c>
      <c r="B25" s="13" t="s">
        <v>12</v>
      </c>
      <c r="C25" s="54" t="s">
        <v>164</v>
      </c>
      <c r="D25" s="9">
        <v>44993</v>
      </c>
      <c r="E25" s="9">
        <v>45359</v>
      </c>
      <c r="F25" s="56">
        <v>6991</v>
      </c>
      <c r="G25" s="56">
        <v>7442</v>
      </c>
      <c r="H25" s="12" t="s">
        <v>39</v>
      </c>
      <c r="I25" s="12" t="s">
        <v>211</v>
      </c>
      <c r="J25" s="12" t="s">
        <v>161</v>
      </c>
    </row>
    <row r="26" spans="1:10" ht="22.8" x14ac:dyDescent="0.3">
      <c r="A26" s="17" t="s">
        <v>212</v>
      </c>
      <c r="B26" s="17" t="s">
        <v>12</v>
      </c>
      <c r="C26" s="55" t="s">
        <v>213</v>
      </c>
      <c r="D26" s="19">
        <v>44965</v>
      </c>
      <c r="E26" s="19">
        <v>45330</v>
      </c>
      <c r="F26" s="60">
        <v>6636</v>
      </c>
      <c r="G26" s="60">
        <v>7064</v>
      </c>
      <c r="H26" s="21" t="s">
        <v>39</v>
      </c>
      <c r="I26" s="21" t="s">
        <v>211</v>
      </c>
      <c r="J26" s="21" t="s">
        <v>220</v>
      </c>
    </row>
    <row r="27" spans="1:10" ht="15.6" x14ac:dyDescent="0.35">
      <c r="A27" s="204"/>
      <c r="B27" s="204"/>
      <c r="C27" s="204"/>
      <c r="D27" s="204"/>
      <c r="E27" s="204"/>
      <c r="F27" s="204"/>
      <c r="G27" s="204"/>
      <c r="H27" s="204"/>
      <c r="I27" s="204"/>
      <c r="J27" s="204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6" x14ac:dyDescent="0.35">
      <c r="A29" s="182" t="s">
        <v>204</v>
      </c>
      <c r="B29" s="185"/>
      <c r="C29" s="185"/>
      <c r="D29" s="185"/>
      <c r="E29" s="185"/>
      <c r="F29" s="185"/>
      <c r="G29" s="185"/>
      <c r="H29" s="185"/>
      <c r="I29" s="185"/>
      <c r="J29" s="185"/>
    </row>
    <row r="30" spans="1:10" ht="41.4" x14ac:dyDescent="0.3">
      <c r="A30" s="6" t="s">
        <v>2</v>
      </c>
      <c r="B30" s="6" t="s">
        <v>3</v>
      </c>
      <c r="C30" s="4" t="s">
        <v>4</v>
      </c>
      <c r="D30" s="5" t="s">
        <v>5</v>
      </c>
      <c r="E30" s="6" t="s">
        <v>6</v>
      </c>
      <c r="F30" s="6" t="s">
        <v>205</v>
      </c>
      <c r="G30" s="6" t="s">
        <v>8</v>
      </c>
      <c r="H30" s="6" t="s">
        <v>9</v>
      </c>
      <c r="I30" s="6" t="s">
        <v>61</v>
      </c>
      <c r="J30" s="6" t="s">
        <v>10</v>
      </c>
    </row>
    <row r="31" spans="1:10" ht="36" customHeight="1" x14ac:dyDescent="0.3">
      <c r="A31" s="74"/>
      <c r="B31" s="79" t="s">
        <v>26</v>
      </c>
      <c r="C31" s="75" t="s">
        <v>221</v>
      </c>
      <c r="D31" s="80">
        <v>43205</v>
      </c>
      <c r="E31" s="76">
        <v>45031</v>
      </c>
      <c r="F31" s="81">
        <v>156051</v>
      </c>
      <c r="G31" s="77">
        <v>219695</v>
      </c>
      <c r="H31" s="82" t="s">
        <v>32</v>
      </c>
      <c r="I31" s="78" t="s">
        <v>96</v>
      </c>
      <c r="J31" s="222" t="s">
        <v>93</v>
      </c>
    </row>
    <row r="32" spans="1:10" ht="36" customHeight="1" x14ac:dyDescent="0.3">
      <c r="A32" s="37"/>
      <c r="B32" s="43" t="s">
        <v>15</v>
      </c>
      <c r="C32" s="42" t="s">
        <v>47</v>
      </c>
      <c r="D32" s="32">
        <v>43212</v>
      </c>
      <c r="E32" s="35">
        <v>45038</v>
      </c>
      <c r="F32" s="71">
        <v>156051</v>
      </c>
      <c r="G32" s="70">
        <v>219695</v>
      </c>
      <c r="H32" s="34" t="s">
        <v>32</v>
      </c>
      <c r="I32" s="38" t="s">
        <v>96</v>
      </c>
      <c r="J32" s="223"/>
    </row>
    <row r="33" spans="1:10" ht="36" customHeight="1" x14ac:dyDescent="0.3">
      <c r="A33" s="37"/>
      <c r="B33" s="43" t="s">
        <v>15</v>
      </c>
      <c r="C33" s="42" t="s">
        <v>48</v>
      </c>
      <c r="D33" s="32">
        <v>43212</v>
      </c>
      <c r="E33" s="35">
        <v>45038</v>
      </c>
      <c r="F33" s="71">
        <v>156051</v>
      </c>
      <c r="G33" s="70">
        <v>219695</v>
      </c>
      <c r="H33" s="34" t="s">
        <v>32</v>
      </c>
      <c r="I33" s="38" t="s">
        <v>96</v>
      </c>
      <c r="J33" s="223"/>
    </row>
    <row r="34" spans="1:10" ht="36" customHeight="1" x14ac:dyDescent="0.3">
      <c r="A34" s="37"/>
      <c r="B34" s="43" t="s">
        <v>15</v>
      </c>
      <c r="C34" s="42" t="s">
        <v>49</v>
      </c>
      <c r="D34" s="32">
        <v>43212</v>
      </c>
      <c r="E34" s="35">
        <v>45038</v>
      </c>
      <c r="F34" s="71">
        <v>156051</v>
      </c>
      <c r="G34" s="70">
        <v>219695</v>
      </c>
      <c r="H34" s="34" t="s">
        <v>32</v>
      </c>
      <c r="I34" s="38" t="s">
        <v>96</v>
      </c>
      <c r="J34" s="223"/>
    </row>
    <row r="35" spans="1:10" ht="36" customHeight="1" x14ac:dyDescent="0.3">
      <c r="A35" s="37"/>
      <c r="B35" s="43" t="s">
        <v>15</v>
      </c>
      <c r="C35" s="42" t="s">
        <v>50</v>
      </c>
      <c r="D35" s="32">
        <v>43212</v>
      </c>
      <c r="E35" s="35">
        <v>45038</v>
      </c>
      <c r="F35" s="71">
        <v>156051</v>
      </c>
      <c r="G35" s="70">
        <v>219695</v>
      </c>
      <c r="H35" s="34" t="s">
        <v>32</v>
      </c>
      <c r="I35" s="38" t="s">
        <v>96</v>
      </c>
      <c r="J35" s="223"/>
    </row>
    <row r="36" spans="1:10" ht="36" customHeight="1" x14ac:dyDescent="0.3">
      <c r="A36" s="13" t="s">
        <v>11</v>
      </c>
      <c r="B36" s="13" t="s">
        <v>26</v>
      </c>
      <c r="C36" s="14" t="s">
        <v>223</v>
      </c>
      <c r="D36" s="9">
        <v>45031</v>
      </c>
      <c r="E36" s="88">
        <f>D36+181</f>
        <v>45212</v>
      </c>
      <c r="F36" s="64">
        <v>215236</v>
      </c>
      <c r="G36" s="73">
        <v>221106</v>
      </c>
      <c r="H36" s="12" t="s">
        <v>224</v>
      </c>
      <c r="I36" s="83" t="s">
        <v>150</v>
      </c>
      <c r="J36" s="12" t="s">
        <v>227</v>
      </c>
    </row>
    <row r="37" spans="1:10" ht="36" customHeight="1" x14ac:dyDescent="0.3">
      <c r="A37" s="84" t="s">
        <v>14</v>
      </c>
      <c r="B37" s="84" t="s">
        <v>15</v>
      </c>
      <c r="C37" s="85" t="s">
        <v>225</v>
      </c>
      <c r="D37" s="86">
        <v>45040</v>
      </c>
      <c r="E37" s="89">
        <f>D37+181</f>
        <v>45221</v>
      </c>
      <c r="F37" s="72">
        <v>860992</v>
      </c>
      <c r="G37" s="73">
        <v>884475</v>
      </c>
      <c r="H37" s="12" t="s">
        <v>224</v>
      </c>
      <c r="I37" s="83" t="s">
        <v>150</v>
      </c>
      <c r="J37" s="12" t="s">
        <v>226</v>
      </c>
    </row>
    <row r="38" spans="1:10" ht="36" customHeight="1" x14ac:dyDescent="0.3">
      <c r="A38" s="13" t="s">
        <v>17</v>
      </c>
      <c r="B38" s="13" t="s">
        <v>15</v>
      </c>
      <c r="C38" s="14" t="s">
        <v>197</v>
      </c>
      <c r="D38" s="9">
        <v>45152</v>
      </c>
      <c r="E38" s="66">
        <v>45652</v>
      </c>
      <c r="F38" s="64">
        <v>58448</v>
      </c>
      <c r="G38" s="64">
        <v>64253</v>
      </c>
      <c r="H38" s="12" t="s">
        <v>42</v>
      </c>
      <c r="I38" s="12" t="s">
        <v>71</v>
      </c>
      <c r="J38" s="61" t="s">
        <v>195</v>
      </c>
    </row>
    <row r="39" spans="1:10" ht="36" customHeight="1" x14ac:dyDescent="0.3">
      <c r="A39" s="13" t="s">
        <v>19</v>
      </c>
      <c r="B39" s="13" t="s">
        <v>15</v>
      </c>
      <c r="C39" s="14" t="s">
        <v>52</v>
      </c>
      <c r="D39" s="9">
        <v>44724</v>
      </c>
      <c r="E39" s="87">
        <f>D39+500</f>
        <v>45224</v>
      </c>
      <c r="F39" s="64">
        <v>50274</v>
      </c>
      <c r="G39" s="65">
        <v>53545</v>
      </c>
      <c r="H39" s="12" t="s">
        <v>42</v>
      </c>
      <c r="I39" s="12" t="s">
        <v>147</v>
      </c>
      <c r="J39" s="12" t="s">
        <v>171</v>
      </c>
    </row>
    <row r="40" spans="1:10" ht="22.8" x14ac:dyDescent="0.3">
      <c r="A40" s="13" t="s">
        <v>21</v>
      </c>
      <c r="B40" s="13" t="s">
        <v>15</v>
      </c>
      <c r="C40" s="14" t="s">
        <v>55</v>
      </c>
      <c r="D40" s="9">
        <v>43907</v>
      </c>
      <c r="E40" s="66">
        <v>45733</v>
      </c>
      <c r="F40" s="64">
        <v>44044</v>
      </c>
      <c r="G40" s="65">
        <v>61249</v>
      </c>
      <c r="H40" s="12" t="s">
        <v>32</v>
      </c>
      <c r="I40" s="12" t="s">
        <v>132</v>
      </c>
      <c r="J40" s="12" t="s">
        <v>172</v>
      </c>
    </row>
    <row r="41" spans="1:10" ht="34.200000000000003" x14ac:dyDescent="0.3">
      <c r="A41" s="37" t="s">
        <v>106</v>
      </c>
      <c r="B41" s="43" t="s">
        <v>15</v>
      </c>
      <c r="C41" s="42" t="s">
        <v>58</v>
      </c>
      <c r="D41" s="32">
        <v>44450</v>
      </c>
      <c r="E41" s="69">
        <f t="shared" ref="E41:E49" si="2">D41+500</f>
        <v>44950</v>
      </c>
      <c r="F41" s="71">
        <v>40919</v>
      </c>
      <c r="G41" s="70">
        <v>43582</v>
      </c>
      <c r="H41" s="34" t="s">
        <v>42</v>
      </c>
      <c r="I41" s="38" t="s">
        <v>147</v>
      </c>
      <c r="J41" s="34" t="s">
        <v>207</v>
      </c>
    </row>
    <row r="42" spans="1:10" ht="34.200000000000003" x14ac:dyDescent="0.3">
      <c r="A42" s="13" t="s">
        <v>23</v>
      </c>
      <c r="B42" s="13" t="s">
        <v>15</v>
      </c>
      <c r="C42" s="14" t="s">
        <v>208</v>
      </c>
      <c r="D42" s="66">
        <v>44950</v>
      </c>
      <c r="E42" s="87">
        <f>D42+271</f>
        <v>45221</v>
      </c>
      <c r="F42" s="64">
        <v>43223</v>
      </c>
      <c r="G42" s="65">
        <f>(F42+(F42*5.25%)/(365/271))</f>
        <v>44907.808856164382</v>
      </c>
      <c r="H42" s="12" t="s">
        <v>209</v>
      </c>
      <c r="I42" s="12" t="s">
        <v>145</v>
      </c>
      <c r="J42" s="12" t="s">
        <v>210</v>
      </c>
    </row>
    <row r="43" spans="1:10" ht="34.200000000000003" x14ac:dyDescent="0.3">
      <c r="A43" s="13" t="s">
        <v>25</v>
      </c>
      <c r="B43" s="13" t="s">
        <v>15</v>
      </c>
      <c r="C43" s="14" t="s">
        <v>70</v>
      </c>
      <c r="D43" s="9">
        <v>44794</v>
      </c>
      <c r="E43" s="66">
        <f t="shared" si="2"/>
        <v>45294</v>
      </c>
      <c r="F43" s="64">
        <v>39394</v>
      </c>
      <c r="G43" s="65">
        <v>41957</v>
      </c>
      <c r="H43" s="12" t="s">
        <v>42</v>
      </c>
      <c r="I43" s="12" t="s">
        <v>147</v>
      </c>
      <c r="J43" s="12" t="s">
        <v>173</v>
      </c>
    </row>
    <row r="44" spans="1:10" ht="34.200000000000003" x14ac:dyDescent="0.3">
      <c r="A44" s="13" t="s">
        <v>29</v>
      </c>
      <c r="B44" s="13" t="s">
        <v>15</v>
      </c>
      <c r="C44" s="14" t="s">
        <v>99</v>
      </c>
      <c r="D44" s="9">
        <v>45145</v>
      </c>
      <c r="E44" s="66">
        <f t="shared" si="2"/>
        <v>45645</v>
      </c>
      <c r="F44" s="64">
        <v>38127</v>
      </c>
      <c r="G44" s="65">
        <v>41914</v>
      </c>
      <c r="H44" s="12" t="s">
        <v>42</v>
      </c>
      <c r="I44" s="12" t="s">
        <v>71</v>
      </c>
      <c r="J44" s="12" t="s">
        <v>174</v>
      </c>
    </row>
    <row r="45" spans="1:10" ht="34.200000000000003" x14ac:dyDescent="0.3">
      <c r="A45" s="37" t="s">
        <v>106</v>
      </c>
      <c r="B45" s="43" t="s">
        <v>15</v>
      </c>
      <c r="C45" s="42" t="s">
        <v>105</v>
      </c>
      <c r="D45" s="32">
        <v>44511</v>
      </c>
      <c r="E45" s="69">
        <f t="shared" si="2"/>
        <v>45011</v>
      </c>
      <c r="F45" s="71">
        <v>33014</v>
      </c>
      <c r="G45" s="70">
        <v>35162</v>
      </c>
      <c r="H45" s="34" t="s">
        <v>42</v>
      </c>
      <c r="I45" s="38" t="s">
        <v>147</v>
      </c>
      <c r="J45" s="34" t="s">
        <v>175</v>
      </c>
    </row>
    <row r="46" spans="1:10" ht="34.200000000000003" x14ac:dyDescent="0.3">
      <c r="A46" s="13" t="s">
        <v>31</v>
      </c>
      <c r="B46" s="13" t="s">
        <v>15</v>
      </c>
      <c r="C46" s="14" t="s">
        <v>219</v>
      </c>
      <c r="D46" s="66">
        <v>45012</v>
      </c>
      <c r="E46" s="87">
        <f>D46+271</f>
        <v>45283</v>
      </c>
      <c r="F46" s="64">
        <v>34948</v>
      </c>
      <c r="G46" s="65">
        <v>36505</v>
      </c>
      <c r="H46" s="12" t="s">
        <v>209</v>
      </c>
      <c r="I46" s="12" t="s">
        <v>148</v>
      </c>
      <c r="J46" s="12" t="s">
        <v>218</v>
      </c>
    </row>
    <row r="47" spans="1:10" ht="34.200000000000003" x14ac:dyDescent="0.3">
      <c r="A47" s="13" t="s">
        <v>34</v>
      </c>
      <c r="B47" s="13" t="s">
        <v>15</v>
      </c>
      <c r="C47" s="14" t="s">
        <v>135</v>
      </c>
      <c r="D47" s="9">
        <v>37594</v>
      </c>
      <c r="E47" s="66">
        <f>D47+500</f>
        <v>38094</v>
      </c>
      <c r="F47" s="64">
        <v>32458</v>
      </c>
      <c r="G47" s="65">
        <v>34748</v>
      </c>
      <c r="H47" s="12" t="s">
        <v>42</v>
      </c>
      <c r="I47" s="12" t="s">
        <v>206</v>
      </c>
      <c r="J47" s="12" t="s">
        <v>176</v>
      </c>
    </row>
    <row r="48" spans="1:10" ht="36" customHeight="1" x14ac:dyDescent="0.3">
      <c r="A48" s="13" t="s">
        <v>36</v>
      </c>
      <c r="B48" s="13" t="s">
        <v>15</v>
      </c>
      <c r="C48" s="14" t="s">
        <v>154</v>
      </c>
      <c r="D48" s="9">
        <v>44749</v>
      </c>
      <c r="E48" s="66">
        <f t="shared" si="2"/>
        <v>45249</v>
      </c>
      <c r="F48" s="64">
        <v>29913</v>
      </c>
      <c r="G48" s="65">
        <v>31859</v>
      </c>
      <c r="H48" s="12" t="s">
        <v>42</v>
      </c>
      <c r="I48" s="12" t="s">
        <v>147</v>
      </c>
      <c r="J48" s="12" t="s">
        <v>177</v>
      </c>
    </row>
    <row r="49" spans="1:10" ht="36" customHeight="1" x14ac:dyDescent="0.3">
      <c r="A49" s="13" t="s">
        <v>38</v>
      </c>
      <c r="B49" s="13" t="s">
        <v>15</v>
      </c>
      <c r="C49" s="14" t="s">
        <v>163</v>
      </c>
      <c r="D49" s="9">
        <v>45128</v>
      </c>
      <c r="E49" s="66">
        <f t="shared" si="2"/>
        <v>45628</v>
      </c>
      <c r="F49" s="64">
        <v>29879</v>
      </c>
      <c r="G49" s="65">
        <v>32846</v>
      </c>
      <c r="H49" s="12" t="s">
        <v>42</v>
      </c>
      <c r="I49" s="12" t="s">
        <v>71</v>
      </c>
      <c r="J49" s="12" t="s">
        <v>162</v>
      </c>
    </row>
    <row r="50" spans="1:10" ht="36" customHeight="1" x14ac:dyDescent="0.3">
      <c r="A50" s="13" t="s">
        <v>65</v>
      </c>
      <c r="B50" s="17" t="s">
        <v>15</v>
      </c>
      <c r="C50" s="18" t="s">
        <v>215</v>
      </c>
      <c r="D50" s="19">
        <v>44991</v>
      </c>
      <c r="E50" s="19">
        <v>45357</v>
      </c>
      <c r="F50" s="67">
        <v>28224</v>
      </c>
      <c r="G50" s="68">
        <v>30060</v>
      </c>
      <c r="H50" s="21" t="s">
        <v>39</v>
      </c>
      <c r="I50" s="21" t="s">
        <v>62</v>
      </c>
      <c r="J50" s="21" t="s">
        <v>216</v>
      </c>
    </row>
  </sheetData>
  <mergeCells count="6">
    <mergeCell ref="J31:J35"/>
    <mergeCell ref="A2:J2"/>
    <mergeCell ref="A4:J4"/>
    <mergeCell ref="A6:J6"/>
    <mergeCell ref="A27:J27"/>
    <mergeCell ref="A29:J2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2"/>
  <sheetViews>
    <sheetView topLeftCell="A15" workbookViewId="0">
      <selection activeCell="K42" sqref="K42"/>
    </sheetView>
  </sheetViews>
  <sheetFormatPr defaultColWidth="11" defaultRowHeight="14.4" x14ac:dyDescent="0.3"/>
  <cols>
    <col min="1" max="1" width="16" customWidth="1"/>
    <col min="2" max="2" width="15.109375" customWidth="1"/>
    <col min="3" max="3" width="13.88671875" customWidth="1"/>
    <col min="4" max="4" width="14.5546875" style="116" customWidth="1"/>
    <col min="5" max="5" width="14" style="116" customWidth="1"/>
    <col min="6" max="6" width="14.5546875" style="116" customWidth="1"/>
    <col min="7" max="7" width="13.88671875" style="116" customWidth="1"/>
    <col min="8" max="8" width="10.44140625" style="116" customWidth="1"/>
  </cols>
  <sheetData>
    <row r="1" spans="1:9" ht="18" x14ac:dyDescent="0.35">
      <c r="A1" s="228" t="s">
        <v>245</v>
      </c>
      <c r="B1" s="229"/>
      <c r="C1" s="229"/>
      <c r="D1" s="229"/>
      <c r="E1" s="229"/>
      <c r="F1" s="229"/>
      <c r="G1" s="229"/>
      <c r="H1" s="230"/>
      <c r="I1" s="105"/>
    </row>
    <row r="2" spans="1:9" ht="15" thickBot="1" x14ac:dyDescent="0.35">
      <c r="A2" s="231" t="s">
        <v>246</v>
      </c>
      <c r="B2" s="232"/>
      <c r="C2" s="232"/>
      <c r="D2" s="232"/>
      <c r="E2" s="232"/>
      <c r="F2" s="232"/>
      <c r="G2" s="232"/>
      <c r="H2" s="233"/>
      <c r="I2" s="106"/>
    </row>
    <row r="3" spans="1:9" ht="30.75" customHeight="1" x14ac:dyDescent="0.3">
      <c r="A3" s="107" t="s">
        <v>247</v>
      </c>
      <c r="B3" s="108" t="s">
        <v>248</v>
      </c>
      <c r="C3" s="108" t="s">
        <v>249</v>
      </c>
      <c r="D3" s="108" t="s">
        <v>250</v>
      </c>
      <c r="E3" s="108" t="s">
        <v>251</v>
      </c>
      <c r="F3" s="108" t="s">
        <v>252</v>
      </c>
      <c r="G3" s="108" t="s">
        <v>253</v>
      </c>
      <c r="H3" s="109" t="s">
        <v>3</v>
      </c>
      <c r="I3" s="110"/>
    </row>
    <row r="4" spans="1:9" x14ac:dyDescent="0.3">
      <c r="A4" s="224" t="s">
        <v>254</v>
      </c>
      <c r="B4" s="225"/>
      <c r="C4" s="225"/>
      <c r="D4" s="225"/>
      <c r="E4" s="225"/>
      <c r="F4" s="225"/>
      <c r="G4" s="225"/>
      <c r="H4" s="226"/>
    </row>
    <row r="5" spans="1:9" x14ac:dyDescent="0.3">
      <c r="A5" s="111">
        <v>21000459</v>
      </c>
      <c r="B5" s="112" t="s">
        <v>255</v>
      </c>
      <c r="C5" s="113">
        <v>43223</v>
      </c>
      <c r="D5" s="114" t="s">
        <v>256</v>
      </c>
      <c r="E5" s="113">
        <v>44907.81</v>
      </c>
      <c r="F5" s="114" t="s">
        <v>257</v>
      </c>
      <c r="G5" s="114">
        <v>43228</v>
      </c>
      <c r="H5" s="115" t="s">
        <v>258</v>
      </c>
      <c r="I5" s="116"/>
    </row>
    <row r="6" spans="1:9" x14ac:dyDescent="0.3">
      <c r="A6" s="111" t="s">
        <v>259</v>
      </c>
      <c r="B6" s="112" t="s">
        <v>260</v>
      </c>
      <c r="C6" s="113">
        <v>50274</v>
      </c>
      <c r="D6" s="114" t="s">
        <v>261</v>
      </c>
      <c r="E6" s="113">
        <v>53445</v>
      </c>
      <c r="F6" s="114" t="s">
        <v>261</v>
      </c>
      <c r="G6" s="114">
        <v>53127</v>
      </c>
      <c r="H6" s="115" t="s">
        <v>258</v>
      </c>
      <c r="I6" s="116"/>
    </row>
    <row r="7" spans="1:9" x14ac:dyDescent="0.3">
      <c r="A7" s="111" t="s">
        <v>262</v>
      </c>
      <c r="B7" s="112" t="s">
        <v>263</v>
      </c>
      <c r="C7" s="113">
        <v>29913</v>
      </c>
      <c r="D7" s="114" t="s">
        <v>264</v>
      </c>
      <c r="E7" s="113">
        <v>31859</v>
      </c>
      <c r="F7" s="114" t="s">
        <v>265</v>
      </c>
      <c r="G7" s="114">
        <v>31588</v>
      </c>
      <c r="H7" s="115" t="s">
        <v>258</v>
      </c>
      <c r="I7" s="116"/>
    </row>
    <row r="8" spans="1:9" x14ac:dyDescent="0.3">
      <c r="A8" s="111">
        <v>21000911</v>
      </c>
      <c r="B8" s="112" t="s">
        <v>266</v>
      </c>
      <c r="C8" s="113">
        <v>34948</v>
      </c>
      <c r="D8" s="114" t="s">
        <v>267</v>
      </c>
      <c r="E8" s="113">
        <v>36505</v>
      </c>
      <c r="F8" s="114" t="s">
        <v>268</v>
      </c>
      <c r="G8" s="114">
        <v>36344</v>
      </c>
      <c r="H8" s="115" t="s">
        <v>258</v>
      </c>
      <c r="I8" s="116"/>
    </row>
    <row r="9" spans="1:9" x14ac:dyDescent="0.3">
      <c r="A9" s="111" t="s">
        <v>269</v>
      </c>
      <c r="B9" s="112" t="s">
        <v>270</v>
      </c>
      <c r="C9" s="113">
        <v>39394</v>
      </c>
      <c r="D9" s="114" t="s">
        <v>271</v>
      </c>
      <c r="E9" s="113">
        <v>41957</v>
      </c>
      <c r="F9" s="114" t="s">
        <v>272</v>
      </c>
      <c r="G9" s="114">
        <v>41666</v>
      </c>
      <c r="H9" s="115" t="s">
        <v>258</v>
      </c>
      <c r="I9" s="116"/>
    </row>
    <row r="10" spans="1:9" x14ac:dyDescent="0.3">
      <c r="A10" s="111" t="s">
        <v>273</v>
      </c>
      <c r="B10" s="112" t="s">
        <v>274</v>
      </c>
      <c r="C10" s="113">
        <v>36021</v>
      </c>
      <c r="D10" s="114" t="s">
        <v>275</v>
      </c>
      <c r="E10" s="113">
        <v>38127</v>
      </c>
      <c r="F10" s="114" t="s">
        <v>276</v>
      </c>
      <c r="G10" s="114">
        <v>38942</v>
      </c>
      <c r="H10" s="115" t="s">
        <v>258</v>
      </c>
      <c r="I10" s="116"/>
    </row>
    <row r="11" spans="1:9" x14ac:dyDescent="0.3">
      <c r="A11" s="111" t="s">
        <v>277</v>
      </c>
      <c r="B11" s="112" t="s">
        <v>278</v>
      </c>
      <c r="C11" s="113">
        <v>55218</v>
      </c>
      <c r="D11" s="114" t="s">
        <v>279</v>
      </c>
      <c r="E11" s="113">
        <v>58448</v>
      </c>
      <c r="F11" s="114" t="s">
        <v>276</v>
      </c>
      <c r="G11" s="114">
        <v>59657</v>
      </c>
      <c r="H11" s="115" t="s">
        <v>258</v>
      </c>
      <c r="I11" s="117"/>
    </row>
    <row r="12" spans="1:9" x14ac:dyDescent="0.3">
      <c r="A12" s="111">
        <v>310145</v>
      </c>
      <c r="B12" s="112" t="s">
        <v>280</v>
      </c>
      <c r="C12" s="113">
        <v>44044</v>
      </c>
      <c r="D12" s="114" t="s">
        <v>281</v>
      </c>
      <c r="E12" s="118">
        <v>61249</v>
      </c>
      <c r="F12" s="114" t="s">
        <v>276</v>
      </c>
      <c r="G12" s="114">
        <v>53600</v>
      </c>
      <c r="H12" s="115" t="s">
        <v>258</v>
      </c>
      <c r="I12" s="117"/>
    </row>
    <row r="13" spans="1:9" x14ac:dyDescent="0.3">
      <c r="A13" s="111" t="s">
        <v>282</v>
      </c>
      <c r="B13" s="112" t="s">
        <v>283</v>
      </c>
      <c r="C13" s="113">
        <v>32458</v>
      </c>
      <c r="D13" s="114" t="s">
        <v>284</v>
      </c>
      <c r="E13" s="113">
        <v>34748</v>
      </c>
      <c r="F13" s="114" t="s">
        <v>285</v>
      </c>
      <c r="G13" s="114">
        <v>33903</v>
      </c>
      <c r="H13" s="115" t="s">
        <v>258</v>
      </c>
      <c r="I13" s="117"/>
    </row>
    <row r="14" spans="1:9" x14ac:dyDescent="0.3">
      <c r="A14" s="111">
        <v>3053862</v>
      </c>
      <c r="B14" s="119" t="s">
        <v>286</v>
      </c>
      <c r="C14" s="120">
        <v>28224</v>
      </c>
      <c r="D14" s="121" t="s">
        <v>287</v>
      </c>
      <c r="E14" s="120">
        <v>29879</v>
      </c>
      <c r="F14" s="114" t="s">
        <v>285</v>
      </c>
      <c r="G14" s="121">
        <v>30626</v>
      </c>
      <c r="H14" s="115" t="s">
        <v>258</v>
      </c>
      <c r="I14" s="117"/>
    </row>
    <row r="15" spans="1:9" x14ac:dyDescent="0.3">
      <c r="A15" s="122">
        <v>1000769</v>
      </c>
      <c r="B15" s="112" t="s">
        <v>288</v>
      </c>
      <c r="C15" s="113">
        <v>28224</v>
      </c>
      <c r="D15" s="114" t="s">
        <v>285</v>
      </c>
      <c r="E15" s="113">
        <v>30252</v>
      </c>
      <c r="F15" s="114" t="s">
        <v>285</v>
      </c>
      <c r="G15" s="114">
        <v>30075</v>
      </c>
      <c r="H15" s="115" t="s">
        <v>258</v>
      </c>
      <c r="I15" s="117"/>
    </row>
    <row r="16" spans="1:9" x14ac:dyDescent="0.3">
      <c r="A16" s="123"/>
      <c r="G16" s="124">
        <f>SUM(G5:G15)</f>
        <v>452756</v>
      </c>
      <c r="H16" s="125"/>
      <c r="I16" s="116"/>
    </row>
    <row r="17" spans="1:9" x14ac:dyDescent="0.3">
      <c r="A17" s="227" t="s">
        <v>289</v>
      </c>
      <c r="B17" s="225"/>
      <c r="C17" s="225"/>
      <c r="D17" s="225"/>
      <c r="E17" s="225"/>
      <c r="F17" s="225"/>
      <c r="G17" s="225"/>
      <c r="H17" s="226"/>
      <c r="I17" s="116"/>
    </row>
    <row r="18" spans="1:9" x14ac:dyDescent="0.3">
      <c r="A18" s="126" t="s">
        <v>290</v>
      </c>
      <c r="B18" s="127" t="s">
        <v>291</v>
      </c>
      <c r="C18" s="128">
        <v>156051</v>
      </c>
      <c r="D18" s="129" t="s">
        <v>292</v>
      </c>
      <c r="E18" s="129">
        <v>219695</v>
      </c>
      <c r="F18" s="129" t="s">
        <v>292</v>
      </c>
      <c r="G18" s="129">
        <v>215236</v>
      </c>
      <c r="H18" s="130" t="s">
        <v>258</v>
      </c>
      <c r="I18" s="117"/>
    </row>
    <row r="19" spans="1:9" x14ac:dyDescent="0.3">
      <c r="A19" s="126"/>
      <c r="B19" s="127"/>
      <c r="C19" s="128"/>
      <c r="D19" s="245" t="s">
        <v>293</v>
      </c>
      <c r="E19" s="243"/>
      <c r="F19" s="244"/>
      <c r="G19" s="131">
        <f>SUM(G18:G18)</f>
        <v>215236</v>
      </c>
      <c r="H19" s="130"/>
      <c r="I19" s="117"/>
    </row>
    <row r="20" spans="1:9" x14ac:dyDescent="0.3">
      <c r="A20" s="126" t="s">
        <v>294</v>
      </c>
      <c r="B20" s="127" t="s">
        <v>295</v>
      </c>
      <c r="C20" s="128">
        <v>156051</v>
      </c>
      <c r="D20" s="129" t="s">
        <v>296</v>
      </c>
      <c r="E20" s="129">
        <v>219695</v>
      </c>
      <c r="F20" s="129" t="s">
        <v>297</v>
      </c>
      <c r="G20" s="129">
        <v>215248</v>
      </c>
      <c r="H20" s="130" t="s">
        <v>258</v>
      </c>
      <c r="I20" s="116"/>
    </row>
    <row r="21" spans="1:9" x14ac:dyDescent="0.3">
      <c r="A21" s="126" t="s">
        <v>298</v>
      </c>
      <c r="B21" s="127" t="s">
        <v>295</v>
      </c>
      <c r="C21" s="128">
        <v>156051</v>
      </c>
      <c r="D21" s="129" t="s">
        <v>296</v>
      </c>
      <c r="E21" s="129">
        <v>219695</v>
      </c>
      <c r="F21" s="129" t="s">
        <v>297</v>
      </c>
      <c r="G21" s="129">
        <v>215248</v>
      </c>
      <c r="H21" s="130" t="s">
        <v>258</v>
      </c>
      <c r="I21" s="116"/>
    </row>
    <row r="22" spans="1:9" x14ac:dyDescent="0.3">
      <c r="A22" s="126" t="s">
        <v>299</v>
      </c>
      <c r="B22" s="127" t="s">
        <v>295</v>
      </c>
      <c r="C22" s="128">
        <v>156051</v>
      </c>
      <c r="D22" s="129" t="s">
        <v>296</v>
      </c>
      <c r="E22" s="129">
        <v>219695</v>
      </c>
      <c r="F22" s="129" t="s">
        <v>297</v>
      </c>
      <c r="G22" s="129">
        <v>215248</v>
      </c>
      <c r="H22" s="130" t="s">
        <v>258</v>
      </c>
      <c r="I22" s="116"/>
    </row>
    <row r="23" spans="1:9" x14ac:dyDescent="0.3">
      <c r="A23" s="126" t="s">
        <v>300</v>
      </c>
      <c r="B23" s="127" t="s">
        <v>295</v>
      </c>
      <c r="C23" s="128">
        <v>156051</v>
      </c>
      <c r="D23" s="129" t="s">
        <v>296</v>
      </c>
      <c r="E23" s="129">
        <v>219695</v>
      </c>
      <c r="F23" s="129" t="s">
        <v>297</v>
      </c>
      <c r="G23" s="129">
        <v>215248</v>
      </c>
      <c r="H23" s="130" t="s">
        <v>258</v>
      </c>
      <c r="I23" s="116"/>
    </row>
    <row r="24" spans="1:9" x14ac:dyDescent="0.3">
      <c r="A24" s="123"/>
      <c r="B24" s="132"/>
      <c r="C24" s="133"/>
      <c r="D24" s="245" t="s">
        <v>301</v>
      </c>
      <c r="E24" s="243"/>
      <c r="F24" s="244"/>
      <c r="G24" s="131">
        <f>SUM(G20:G23)</f>
        <v>860992</v>
      </c>
      <c r="H24" s="125"/>
      <c r="I24" s="116"/>
    </row>
    <row r="25" spans="1:9" x14ac:dyDescent="0.3">
      <c r="A25" s="227" t="s">
        <v>302</v>
      </c>
      <c r="B25" s="225"/>
      <c r="C25" s="225"/>
      <c r="D25" s="225"/>
      <c r="E25" s="225"/>
      <c r="F25" s="225"/>
      <c r="G25" s="225"/>
      <c r="H25" s="226"/>
      <c r="I25" s="116"/>
    </row>
    <row r="26" spans="1:9" x14ac:dyDescent="0.3">
      <c r="A26" s="134" t="s">
        <v>303</v>
      </c>
      <c r="B26" s="127" t="s">
        <v>292</v>
      </c>
      <c r="C26" s="128">
        <v>215236</v>
      </c>
      <c r="D26" s="127" t="s">
        <v>304</v>
      </c>
      <c r="E26" s="129" t="s">
        <v>106</v>
      </c>
      <c r="F26" s="127" t="s">
        <v>304</v>
      </c>
      <c r="G26" s="129">
        <v>220503</v>
      </c>
      <c r="H26" s="130" t="s">
        <v>258</v>
      </c>
      <c r="I26" s="116"/>
    </row>
    <row r="27" spans="1:9" x14ac:dyDescent="0.3">
      <c r="A27" s="134" t="s">
        <v>305</v>
      </c>
      <c r="B27" s="127" t="s">
        <v>297</v>
      </c>
      <c r="C27" s="128">
        <v>860992</v>
      </c>
      <c r="D27" s="127" t="s">
        <v>256</v>
      </c>
      <c r="E27" s="129" t="s">
        <v>106</v>
      </c>
      <c r="F27" s="127" t="s">
        <v>257</v>
      </c>
      <c r="G27" s="129">
        <v>882051</v>
      </c>
      <c r="H27" s="130" t="s">
        <v>258</v>
      </c>
      <c r="I27" s="116"/>
    </row>
    <row r="28" spans="1:9" x14ac:dyDescent="0.3">
      <c r="A28" s="240" t="s">
        <v>306</v>
      </c>
      <c r="B28" s="241"/>
      <c r="C28" s="135">
        <f>SUM(C26:C27)</f>
        <v>1076228</v>
      </c>
      <c r="D28" s="245" t="s">
        <v>307</v>
      </c>
      <c r="E28" s="243"/>
      <c r="F28" s="244"/>
      <c r="G28" s="136">
        <f>SUM(G26:G27)</f>
        <v>1102554</v>
      </c>
      <c r="H28" s="125"/>
      <c r="I28" s="116"/>
    </row>
    <row r="29" spans="1:9" x14ac:dyDescent="0.3">
      <c r="A29" s="137"/>
      <c r="B29" s="138"/>
      <c r="C29" s="246" t="s">
        <v>308</v>
      </c>
      <c r="D29" s="246"/>
      <c r="E29" s="246"/>
      <c r="F29" s="247"/>
      <c r="G29" s="139">
        <f>G16+G28</f>
        <v>1555310</v>
      </c>
      <c r="H29" s="140"/>
      <c r="I29" s="116"/>
    </row>
    <row r="30" spans="1:9" x14ac:dyDescent="0.3">
      <c r="A30" s="227" t="s">
        <v>309</v>
      </c>
      <c r="B30" s="225"/>
      <c r="C30" s="225"/>
      <c r="D30" s="225"/>
      <c r="E30" s="225"/>
      <c r="F30" s="225"/>
      <c r="G30" s="225"/>
      <c r="H30" s="226"/>
      <c r="I30" s="116"/>
    </row>
    <row r="31" spans="1:9" x14ac:dyDescent="0.3">
      <c r="A31" s="134" t="s">
        <v>310</v>
      </c>
      <c r="B31" s="127" t="s">
        <v>311</v>
      </c>
      <c r="C31" s="128">
        <v>100000</v>
      </c>
      <c r="D31" s="127" t="s">
        <v>312</v>
      </c>
      <c r="E31" s="129" t="s">
        <v>106</v>
      </c>
      <c r="F31" s="129" t="s">
        <v>106</v>
      </c>
      <c r="G31" s="129">
        <v>121846</v>
      </c>
      <c r="H31" s="130" t="s">
        <v>258</v>
      </c>
      <c r="I31" s="116"/>
    </row>
    <row r="32" spans="1:9" x14ac:dyDescent="0.3">
      <c r="A32" s="134" t="s">
        <v>313</v>
      </c>
      <c r="B32" s="127" t="s">
        <v>311</v>
      </c>
      <c r="C32" s="128">
        <v>100000</v>
      </c>
      <c r="D32" s="127" t="s">
        <v>312</v>
      </c>
      <c r="E32" s="129" t="s">
        <v>106</v>
      </c>
      <c r="F32" s="129" t="s">
        <v>106</v>
      </c>
      <c r="G32" s="129">
        <v>121846</v>
      </c>
      <c r="H32" s="130" t="s">
        <v>258</v>
      </c>
      <c r="I32" s="116"/>
    </row>
    <row r="33" spans="1:9" x14ac:dyDescent="0.3">
      <c r="A33" s="134" t="s">
        <v>314</v>
      </c>
      <c r="B33" s="127" t="s">
        <v>311</v>
      </c>
      <c r="C33" s="128">
        <v>100000</v>
      </c>
      <c r="D33" s="127" t="s">
        <v>312</v>
      </c>
      <c r="E33" s="129" t="s">
        <v>106</v>
      </c>
      <c r="F33" s="129" t="s">
        <v>106</v>
      </c>
      <c r="G33" s="129">
        <v>121846</v>
      </c>
      <c r="H33" s="130" t="s">
        <v>258</v>
      </c>
      <c r="I33" s="116"/>
    </row>
    <row r="34" spans="1:9" x14ac:dyDescent="0.3">
      <c r="A34" s="134" t="s">
        <v>315</v>
      </c>
      <c r="B34" s="127" t="s">
        <v>311</v>
      </c>
      <c r="C34" s="128">
        <v>100000</v>
      </c>
      <c r="D34" s="127" t="s">
        <v>312</v>
      </c>
      <c r="E34" s="129" t="s">
        <v>106</v>
      </c>
      <c r="F34" s="129" t="s">
        <v>106</v>
      </c>
      <c r="G34" s="129">
        <v>121846</v>
      </c>
      <c r="H34" s="130" t="s">
        <v>258</v>
      </c>
      <c r="I34" s="116"/>
    </row>
    <row r="35" spans="1:9" x14ac:dyDescent="0.3">
      <c r="A35" s="134" t="s">
        <v>310</v>
      </c>
      <c r="B35" s="127" t="s">
        <v>311</v>
      </c>
      <c r="C35" s="128">
        <v>100000</v>
      </c>
      <c r="D35" s="127" t="s">
        <v>312</v>
      </c>
      <c r="E35" s="129" t="s">
        <v>106</v>
      </c>
      <c r="F35" s="129" t="s">
        <v>106</v>
      </c>
      <c r="G35" s="129">
        <v>121846</v>
      </c>
      <c r="H35" s="130" t="s">
        <v>258</v>
      </c>
      <c r="I35" s="116"/>
    </row>
    <row r="36" spans="1:9" x14ac:dyDescent="0.3">
      <c r="A36" s="134" t="s">
        <v>316</v>
      </c>
      <c r="B36" s="127" t="s">
        <v>317</v>
      </c>
      <c r="C36" s="128">
        <v>50000</v>
      </c>
      <c r="D36" s="127" t="s">
        <v>318</v>
      </c>
      <c r="E36" s="129" t="s">
        <v>106</v>
      </c>
      <c r="F36" s="129" t="s">
        <v>106</v>
      </c>
      <c r="G36" s="129">
        <v>60923</v>
      </c>
      <c r="H36" s="130" t="s">
        <v>258</v>
      </c>
      <c r="I36" s="116"/>
    </row>
    <row r="37" spans="1:9" x14ac:dyDescent="0.3">
      <c r="A37" s="240" t="s">
        <v>319</v>
      </c>
      <c r="B37" s="241"/>
      <c r="C37" s="141">
        <f>SUM(C31:C36)</f>
        <v>550000</v>
      </c>
      <c r="D37" s="242" t="s">
        <v>320</v>
      </c>
      <c r="E37" s="243"/>
      <c r="F37" s="244"/>
      <c r="G37" s="124">
        <f>SUM(G31:G36)</f>
        <v>670153</v>
      </c>
      <c r="H37" s="130"/>
      <c r="I37" s="116"/>
    </row>
    <row r="38" spans="1:9" ht="15" thickBot="1" x14ac:dyDescent="0.35">
      <c r="I38" s="116"/>
    </row>
    <row r="39" spans="1:9" ht="15.6" x14ac:dyDescent="0.3">
      <c r="A39" s="228" t="s">
        <v>245</v>
      </c>
      <c r="B39" s="229"/>
      <c r="C39" s="229"/>
      <c r="D39" s="229"/>
      <c r="E39" s="229"/>
      <c r="F39" s="229"/>
      <c r="G39" s="229"/>
      <c r="H39" s="230"/>
    </row>
    <row r="40" spans="1:9" ht="15" thickBot="1" x14ac:dyDescent="0.35">
      <c r="A40" s="231" t="s">
        <v>321</v>
      </c>
      <c r="B40" s="232"/>
      <c r="C40" s="232"/>
      <c r="D40" s="232"/>
      <c r="E40" s="232"/>
      <c r="F40" s="232"/>
      <c r="G40" s="232"/>
      <c r="H40" s="233"/>
    </row>
    <row r="41" spans="1:9" x14ac:dyDescent="0.3">
      <c r="A41" s="224" t="s">
        <v>322</v>
      </c>
      <c r="B41" s="225"/>
      <c r="C41" s="225"/>
      <c r="D41" s="225"/>
      <c r="E41" s="225"/>
      <c r="F41" s="225"/>
      <c r="G41" s="225"/>
      <c r="H41" s="226"/>
    </row>
    <row r="42" spans="1:9" ht="28.8" x14ac:dyDescent="0.3">
      <c r="A42" s="107" t="s">
        <v>247</v>
      </c>
      <c r="B42" s="108" t="s">
        <v>248</v>
      </c>
      <c r="C42" s="108" t="s">
        <v>249</v>
      </c>
      <c r="D42" s="108" t="s">
        <v>323</v>
      </c>
      <c r="E42" s="108" t="s">
        <v>324</v>
      </c>
      <c r="F42" s="108"/>
      <c r="G42" s="108"/>
      <c r="H42" s="109" t="s">
        <v>3</v>
      </c>
    </row>
    <row r="43" spans="1:9" x14ac:dyDescent="0.3">
      <c r="A43" s="234" t="s">
        <v>325</v>
      </c>
      <c r="B43" s="142" t="s">
        <v>326</v>
      </c>
      <c r="C43" s="128">
        <v>36251</v>
      </c>
      <c r="D43" s="127" t="s">
        <v>327</v>
      </c>
      <c r="E43" s="143">
        <v>38225</v>
      </c>
      <c r="F43" s="144"/>
      <c r="G43" s="144"/>
      <c r="H43" s="236" t="s">
        <v>258</v>
      </c>
    </row>
    <row r="44" spans="1:9" ht="15" customHeight="1" x14ac:dyDescent="0.3">
      <c r="A44" s="235"/>
      <c r="B44" s="238" t="s">
        <v>328</v>
      </c>
      <c r="C44" s="239"/>
      <c r="D44" s="239"/>
      <c r="E44" s="143">
        <v>38615</v>
      </c>
      <c r="F44" s="145"/>
      <c r="G44" s="145"/>
      <c r="H44" s="237"/>
    </row>
    <row r="45" spans="1:9" x14ac:dyDescent="0.3">
      <c r="A45" s="146"/>
      <c r="B45" s="147"/>
      <c r="C45" s="148"/>
      <c r="D45" s="148"/>
      <c r="E45" s="149"/>
      <c r="F45" s="150"/>
      <c r="G45" s="150"/>
      <c r="H45" s="151"/>
    </row>
    <row r="46" spans="1:9" x14ac:dyDescent="0.3">
      <c r="A46" s="224" t="s">
        <v>329</v>
      </c>
      <c r="B46" s="225"/>
      <c r="C46" s="225"/>
      <c r="D46" s="225"/>
      <c r="E46" s="225"/>
      <c r="F46" s="225"/>
      <c r="G46" s="225"/>
      <c r="H46" s="226"/>
    </row>
    <row r="47" spans="1:9" ht="28.8" x14ac:dyDescent="0.3">
      <c r="A47" s="107" t="s">
        <v>247</v>
      </c>
      <c r="B47" s="108" t="s">
        <v>248</v>
      </c>
      <c r="C47" s="108" t="s">
        <v>249</v>
      </c>
      <c r="D47" s="108" t="s">
        <v>323</v>
      </c>
      <c r="E47" s="108" t="s">
        <v>330</v>
      </c>
      <c r="F47" s="108" t="s">
        <v>252</v>
      </c>
      <c r="G47" s="108" t="s">
        <v>331</v>
      </c>
      <c r="H47" s="109" t="s">
        <v>3</v>
      </c>
    </row>
    <row r="48" spans="1:9" x14ac:dyDescent="0.3">
      <c r="A48" s="126" t="s">
        <v>332</v>
      </c>
      <c r="B48" s="127" t="s">
        <v>333</v>
      </c>
      <c r="C48" s="128">
        <v>14163</v>
      </c>
      <c r="D48" s="127" t="s">
        <v>334</v>
      </c>
      <c r="E48" s="143">
        <v>15218</v>
      </c>
      <c r="F48" s="127" t="s">
        <v>335</v>
      </c>
      <c r="G48" s="152">
        <v>14164</v>
      </c>
      <c r="H48" s="130" t="s">
        <v>12</v>
      </c>
    </row>
    <row r="49" spans="1:8" x14ac:dyDescent="0.3">
      <c r="A49" s="126" t="s">
        <v>336</v>
      </c>
      <c r="B49" s="127" t="s">
        <v>337</v>
      </c>
      <c r="C49" s="128">
        <v>15663</v>
      </c>
      <c r="D49" s="127" t="s">
        <v>338</v>
      </c>
      <c r="E49" s="143">
        <v>16673</v>
      </c>
      <c r="F49" s="127" t="s">
        <v>335</v>
      </c>
      <c r="G49" s="153">
        <v>16339</v>
      </c>
      <c r="H49" s="130" t="s">
        <v>12</v>
      </c>
    </row>
    <row r="50" spans="1:8" x14ac:dyDescent="0.3">
      <c r="A50" s="126" t="s">
        <v>339</v>
      </c>
      <c r="B50" s="127" t="s">
        <v>340</v>
      </c>
      <c r="C50" s="128">
        <v>22939</v>
      </c>
      <c r="D50" s="127" t="s">
        <v>341</v>
      </c>
      <c r="E50" s="143">
        <v>24587</v>
      </c>
      <c r="F50" s="127" t="s">
        <v>335</v>
      </c>
      <c r="G50" s="153">
        <v>23859</v>
      </c>
      <c r="H50" s="130" t="s">
        <v>12</v>
      </c>
    </row>
    <row r="51" spans="1:8" x14ac:dyDescent="0.3">
      <c r="A51" s="126" t="s">
        <v>342</v>
      </c>
      <c r="B51" s="127" t="s">
        <v>343</v>
      </c>
      <c r="C51" s="128">
        <v>11763</v>
      </c>
      <c r="D51" s="127" t="s">
        <v>344</v>
      </c>
      <c r="E51" s="143">
        <v>12627</v>
      </c>
      <c r="F51" s="127" t="s">
        <v>335</v>
      </c>
      <c r="G51" s="153">
        <v>12214</v>
      </c>
      <c r="H51" s="130" t="s">
        <v>12</v>
      </c>
    </row>
    <row r="52" spans="1:8" x14ac:dyDescent="0.3">
      <c r="A52" s="126" t="s">
        <v>345</v>
      </c>
      <c r="B52" s="127" t="s">
        <v>346</v>
      </c>
      <c r="C52" s="128">
        <v>24569</v>
      </c>
      <c r="D52" s="127" t="s">
        <v>347</v>
      </c>
      <c r="E52" s="143">
        <v>26399</v>
      </c>
      <c r="F52" s="127" t="s">
        <v>335</v>
      </c>
      <c r="G52" s="154">
        <v>25431</v>
      </c>
      <c r="H52" s="130" t="s">
        <v>12</v>
      </c>
    </row>
    <row r="53" spans="1:8" x14ac:dyDescent="0.3">
      <c r="A53" s="126" t="s">
        <v>348</v>
      </c>
      <c r="B53" s="127" t="s">
        <v>349</v>
      </c>
      <c r="C53" s="128">
        <v>20278</v>
      </c>
      <c r="D53" s="127" t="s">
        <v>350</v>
      </c>
      <c r="E53" s="143">
        <v>21789</v>
      </c>
      <c r="F53" s="127" t="s">
        <v>335</v>
      </c>
      <c r="G53" s="154">
        <v>20986</v>
      </c>
      <c r="H53" s="130" t="s">
        <v>12</v>
      </c>
    </row>
    <row r="54" spans="1:8" x14ac:dyDescent="0.3">
      <c r="A54" s="126" t="s">
        <v>351</v>
      </c>
      <c r="B54" s="127" t="s">
        <v>352</v>
      </c>
      <c r="C54" s="128">
        <v>26885</v>
      </c>
      <c r="D54" s="127" t="s">
        <v>353</v>
      </c>
      <c r="E54" s="143">
        <v>28888</v>
      </c>
      <c r="F54" s="127" t="s">
        <v>335</v>
      </c>
      <c r="G54" s="154">
        <v>27789</v>
      </c>
      <c r="H54" s="130" t="s">
        <v>12</v>
      </c>
    </row>
    <row r="55" spans="1:8" x14ac:dyDescent="0.3">
      <c r="A55" s="126" t="s">
        <v>354</v>
      </c>
      <c r="B55" s="127" t="s">
        <v>352</v>
      </c>
      <c r="C55" s="143">
        <v>13527</v>
      </c>
      <c r="D55" s="127" t="s">
        <v>353</v>
      </c>
      <c r="E55" s="143">
        <v>14535</v>
      </c>
      <c r="F55" s="127" t="s">
        <v>335</v>
      </c>
      <c r="G55" s="154">
        <v>13982</v>
      </c>
      <c r="H55" s="130" t="s">
        <v>12</v>
      </c>
    </row>
    <row r="56" spans="1:8" x14ac:dyDescent="0.3">
      <c r="A56" s="126" t="s">
        <v>355</v>
      </c>
      <c r="B56" s="127" t="s">
        <v>352</v>
      </c>
      <c r="C56" s="143">
        <v>16685</v>
      </c>
      <c r="D56" s="127" t="s">
        <v>353</v>
      </c>
      <c r="E56" s="143">
        <v>17928</v>
      </c>
      <c r="F56" s="127" t="s">
        <v>335</v>
      </c>
      <c r="G56" s="154">
        <v>17246</v>
      </c>
      <c r="H56" s="130" t="s">
        <v>12</v>
      </c>
    </row>
    <row r="57" spans="1:8" x14ac:dyDescent="0.3">
      <c r="A57" s="126" t="s">
        <v>356</v>
      </c>
      <c r="B57" s="127" t="s">
        <v>357</v>
      </c>
      <c r="C57" s="143">
        <v>13308</v>
      </c>
      <c r="D57" s="127" t="s">
        <v>358</v>
      </c>
      <c r="E57" s="143">
        <v>14299</v>
      </c>
      <c r="F57" s="127" t="s">
        <v>335</v>
      </c>
      <c r="G57" s="154">
        <v>13571</v>
      </c>
      <c r="H57" s="130" t="s">
        <v>12</v>
      </c>
    </row>
    <row r="58" spans="1:8" x14ac:dyDescent="0.3">
      <c r="A58" s="126" t="s">
        <v>359</v>
      </c>
      <c r="B58" s="127" t="s">
        <v>360</v>
      </c>
      <c r="C58" s="128">
        <v>10637</v>
      </c>
      <c r="D58" s="127" t="s">
        <v>335</v>
      </c>
      <c r="E58" s="143">
        <v>11323</v>
      </c>
      <c r="F58" s="127" t="s">
        <v>335</v>
      </c>
      <c r="G58" s="154">
        <v>11323</v>
      </c>
      <c r="H58" s="130" t="s">
        <v>12</v>
      </c>
    </row>
    <row r="59" spans="1:8" x14ac:dyDescent="0.3">
      <c r="A59" s="126" t="s">
        <v>361</v>
      </c>
      <c r="B59" s="127" t="s">
        <v>362</v>
      </c>
      <c r="C59" s="128">
        <v>10482</v>
      </c>
      <c r="D59" s="127" t="s">
        <v>363</v>
      </c>
      <c r="E59" s="143">
        <v>11263</v>
      </c>
      <c r="F59" s="127" t="s">
        <v>335</v>
      </c>
      <c r="G59" s="154">
        <v>10493</v>
      </c>
      <c r="H59" s="130" t="s">
        <v>12</v>
      </c>
    </row>
    <row r="60" spans="1:8" x14ac:dyDescent="0.3">
      <c r="A60" s="126">
        <v>12298</v>
      </c>
      <c r="B60" s="127" t="s">
        <v>364</v>
      </c>
      <c r="C60" s="128">
        <v>9204</v>
      </c>
      <c r="D60" s="127" t="s">
        <v>365</v>
      </c>
      <c r="E60" s="143">
        <v>11368</v>
      </c>
      <c r="F60" s="127" t="s">
        <v>335</v>
      </c>
      <c r="G60" s="154">
        <v>9227</v>
      </c>
      <c r="H60" s="130" t="s">
        <v>12</v>
      </c>
    </row>
    <row r="61" spans="1:8" x14ac:dyDescent="0.3">
      <c r="A61" s="126" t="s">
        <v>366</v>
      </c>
      <c r="B61" s="127" t="s">
        <v>367</v>
      </c>
      <c r="C61" s="128">
        <v>9147</v>
      </c>
      <c r="D61" s="127" t="s">
        <v>368</v>
      </c>
      <c r="E61" s="143">
        <v>9828</v>
      </c>
      <c r="F61" s="127" t="s">
        <v>335</v>
      </c>
      <c r="G61" s="154">
        <v>9170</v>
      </c>
      <c r="H61" s="130" t="s">
        <v>12</v>
      </c>
    </row>
    <row r="62" spans="1:8" x14ac:dyDescent="0.3">
      <c r="A62" s="126">
        <v>13811</v>
      </c>
      <c r="B62" s="127" t="s">
        <v>369</v>
      </c>
      <c r="C62" s="128">
        <v>8508</v>
      </c>
      <c r="D62" s="127" t="s">
        <v>370</v>
      </c>
      <c r="E62" s="143">
        <v>10665</v>
      </c>
      <c r="F62" s="127" t="s">
        <v>335</v>
      </c>
      <c r="G62" s="154">
        <v>8514</v>
      </c>
      <c r="H62" s="130" t="s">
        <v>12</v>
      </c>
    </row>
    <row r="63" spans="1:8" x14ac:dyDescent="0.3">
      <c r="A63" s="126" t="s">
        <v>371</v>
      </c>
      <c r="B63" s="127" t="s">
        <v>372</v>
      </c>
      <c r="C63" s="128">
        <v>7860</v>
      </c>
      <c r="D63" s="127" t="s">
        <v>373</v>
      </c>
      <c r="E63" s="143">
        <v>8445</v>
      </c>
      <c r="F63" s="127" t="s">
        <v>335</v>
      </c>
      <c r="G63" s="154">
        <v>7876</v>
      </c>
      <c r="H63" s="130" t="s">
        <v>12</v>
      </c>
    </row>
    <row r="64" spans="1:8" x14ac:dyDescent="0.3">
      <c r="A64" s="126" t="s">
        <v>374</v>
      </c>
      <c r="B64" s="127" t="s">
        <v>375</v>
      </c>
      <c r="C64" s="128">
        <v>7442</v>
      </c>
      <c r="D64" s="127" t="s">
        <v>376</v>
      </c>
      <c r="E64" s="143">
        <v>7975</v>
      </c>
      <c r="F64" s="127" t="s">
        <v>377</v>
      </c>
      <c r="G64" s="154">
        <v>7449</v>
      </c>
      <c r="H64" s="130" t="s">
        <v>12</v>
      </c>
    </row>
    <row r="65" spans="1:8" x14ac:dyDescent="0.3">
      <c r="A65" s="126">
        <v>14740</v>
      </c>
      <c r="B65" s="127" t="s">
        <v>378</v>
      </c>
      <c r="C65" s="128">
        <v>7064</v>
      </c>
      <c r="D65" s="127" t="s">
        <v>379</v>
      </c>
      <c r="E65" s="143">
        <v>7612</v>
      </c>
      <c r="F65" s="127" t="s">
        <v>335</v>
      </c>
      <c r="G65" s="154">
        <v>7085</v>
      </c>
      <c r="H65" s="130" t="s">
        <v>12</v>
      </c>
    </row>
    <row r="66" spans="1:8" x14ac:dyDescent="0.3">
      <c r="A66" s="126"/>
      <c r="B66" s="155"/>
      <c r="C66" s="128"/>
      <c r="D66" s="156"/>
      <c r="E66" s="157"/>
      <c r="F66" s="127"/>
      <c r="G66" s="158">
        <f>SUM(G48:G65)</f>
        <v>256718</v>
      </c>
      <c r="H66" s="130"/>
    </row>
    <row r="67" spans="1:8" x14ac:dyDescent="0.3">
      <c r="A67" s="227" t="s">
        <v>380</v>
      </c>
      <c r="B67" s="225"/>
      <c r="C67" s="225"/>
      <c r="D67" s="225"/>
      <c r="E67" s="225"/>
      <c r="F67" s="225"/>
      <c r="G67" s="225"/>
      <c r="H67" s="226"/>
    </row>
    <row r="68" spans="1:8" x14ac:dyDescent="0.3">
      <c r="A68" s="126">
        <v>15318</v>
      </c>
      <c r="B68" s="127" t="s">
        <v>335</v>
      </c>
      <c r="C68" s="128">
        <v>256718</v>
      </c>
      <c r="D68" s="127" t="s">
        <v>381</v>
      </c>
      <c r="E68" s="157">
        <v>299315</v>
      </c>
      <c r="F68" s="127" t="s">
        <v>106</v>
      </c>
      <c r="G68" s="121" t="s">
        <v>106</v>
      </c>
      <c r="H68" s="130" t="s">
        <v>12</v>
      </c>
    </row>
    <row r="69" spans="1:8" x14ac:dyDescent="0.3">
      <c r="A69" s="126"/>
      <c r="B69" s="127"/>
      <c r="C69" s="128"/>
      <c r="D69" s="156"/>
      <c r="E69" s="157"/>
      <c r="F69" s="127"/>
      <c r="G69" s="121"/>
      <c r="H69" s="130"/>
    </row>
    <row r="70" spans="1:8" x14ac:dyDescent="0.3">
      <c r="A70" s="227" t="s">
        <v>382</v>
      </c>
      <c r="B70" s="225"/>
      <c r="C70" s="225"/>
      <c r="D70" s="225"/>
      <c r="E70" s="225"/>
      <c r="F70" s="225"/>
      <c r="G70" s="225"/>
      <c r="H70" s="226"/>
    </row>
    <row r="71" spans="1:8" x14ac:dyDescent="0.3">
      <c r="A71" s="126">
        <v>15320</v>
      </c>
      <c r="B71" s="127" t="s">
        <v>335</v>
      </c>
      <c r="C71" s="128">
        <v>8368</v>
      </c>
      <c r="D71" s="127" t="s">
        <v>381</v>
      </c>
      <c r="E71" s="143">
        <v>9756</v>
      </c>
      <c r="F71" s="127" t="s">
        <v>106</v>
      </c>
      <c r="G71" s="114" t="s">
        <v>106</v>
      </c>
      <c r="H71" s="130" t="s">
        <v>12</v>
      </c>
    </row>
    <row r="72" spans="1:8" x14ac:dyDescent="0.3">
      <c r="A72" s="126"/>
      <c r="B72" s="127"/>
      <c r="C72" s="128"/>
      <c r="D72" s="127"/>
      <c r="E72" s="143"/>
      <c r="F72" s="127"/>
      <c r="G72" s="114"/>
      <c r="H72" s="130"/>
    </row>
  </sheetData>
  <mergeCells count="22">
    <mergeCell ref="A37:B37"/>
    <mergeCell ref="D37:F37"/>
    <mergeCell ref="A1:H1"/>
    <mergeCell ref="A2:H2"/>
    <mergeCell ref="A4:H4"/>
    <mergeCell ref="A17:H17"/>
    <mergeCell ref="D19:F19"/>
    <mergeCell ref="D24:F24"/>
    <mergeCell ref="A25:H25"/>
    <mergeCell ref="A28:B28"/>
    <mergeCell ref="D28:F28"/>
    <mergeCell ref="C29:F29"/>
    <mergeCell ref="A30:H30"/>
    <mergeCell ref="A46:H46"/>
    <mergeCell ref="A67:H67"/>
    <mergeCell ref="A70:H70"/>
    <mergeCell ref="A39:H39"/>
    <mergeCell ref="A40:H40"/>
    <mergeCell ref="A41:H41"/>
    <mergeCell ref="A43:A44"/>
    <mergeCell ref="H43:H44"/>
    <mergeCell ref="B44:D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5"/>
  <sheetViews>
    <sheetView workbookViewId="0">
      <selection activeCell="J19" sqref="J19:J24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8.55468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45.5546875" style="47" customWidth="1"/>
    <col min="11" max="16384" width="9.109375" style="47"/>
  </cols>
  <sheetData>
    <row r="1" spans="1:14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ht="17.399999999999999" x14ac:dyDescent="0.3">
      <c r="A2" s="180" t="s">
        <v>0</v>
      </c>
      <c r="B2" s="180"/>
      <c r="C2" s="180"/>
      <c r="D2" s="180"/>
      <c r="E2" s="180"/>
      <c r="F2" s="180"/>
      <c r="G2" s="180"/>
      <c r="H2" s="180"/>
      <c r="I2" s="180"/>
      <c r="J2" s="180"/>
    </row>
    <row r="3" spans="1:14" ht="17.399999999999999" x14ac:dyDescent="0.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4" x14ac:dyDescent="0.3">
      <c r="A4" s="181" t="s">
        <v>234</v>
      </c>
      <c r="B4" s="181"/>
      <c r="C4" s="181"/>
      <c r="D4" s="181"/>
      <c r="E4" s="181"/>
      <c r="F4" s="181"/>
      <c r="G4" s="181"/>
      <c r="H4" s="181"/>
      <c r="I4" s="181"/>
      <c r="J4" s="181"/>
    </row>
    <row r="5" spans="1:14" x14ac:dyDescent="0.3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4" ht="15.6" x14ac:dyDescent="0.3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</row>
    <row r="7" spans="1:14" ht="25.5" customHeight="1" x14ac:dyDescent="0.3">
      <c r="A7" s="4" t="s">
        <v>2</v>
      </c>
      <c r="B7" s="4" t="s">
        <v>3</v>
      </c>
      <c r="C7" s="4" t="s">
        <v>4</v>
      </c>
      <c r="D7" s="5" t="s">
        <v>5</v>
      </c>
      <c r="E7" s="4" t="s">
        <v>6</v>
      </c>
      <c r="F7" s="6" t="s">
        <v>7</v>
      </c>
      <c r="G7" s="4" t="s">
        <v>8</v>
      </c>
      <c r="H7" s="4" t="s">
        <v>9</v>
      </c>
      <c r="I7" s="4" t="s">
        <v>61</v>
      </c>
      <c r="J7" s="4" t="s">
        <v>10</v>
      </c>
    </row>
    <row r="8" spans="1:14" ht="34.950000000000003" customHeight="1" x14ac:dyDescent="0.3">
      <c r="A8" s="159" t="s">
        <v>11</v>
      </c>
      <c r="B8" s="164" t="s">
        <v>26</v>
      </c>
      <c r="C8" s="160" t="s">
        <v>201</v>
      </c>
      <c r="D8" s="165">
        <v>45368</v>
      </c>
      <c r="E8" s="161">
        <f>D8+365</f>
        <v>45733</v>
      </c>
      <c r="F8" s="166">
        <v>38615</v>
      </c>
      <c r="G8" s="162">
        <v>41357</v>
      </c>
      <c r="H8" s="167" t="s">
        <v>27</v>
      </c>
      <c r="I8" s="163" t="s">
        <v>217</v>
      </c>
      <c r="J8" s="167" t="s">
        <v>184</v>
      </c>
    </row>
    <row r="9" spans="1:14" ht="25.5" customHeight="1" x14ac:dyDescent="0.3">
      <c r="A9" s="4" t="s">
        <v>2</v>
      </c>
      <c r="B9" s="4" t="s">
        <v>3</v>
      </c>
      <c r="C9" s="4" t="s">
        <v>4</v>
      </c>
      <c r="D9" s="5" t="s">
        <v>5</v>
      </c>
      <c r="E9" s="4" t="s">
        <v>6</v>
      </c>
      <c r="F9" s="6" t="s">
        <v>7</v>
      </c>
      <c r="G9" s="4" t="s">
        <v>8</v>
      </c>
      <c r="H9" s="4" t="s">
        <v>9</v>
      </c>
      <c r="I9" s="4" t="s">
        <v>61</v>
      </c>
      <c r="J9" s="4" t="s">
        <v>10</v>
      </c>
    </row>
    <row r="10" spans="1:14" ht="36" customHeight="1" x14ac:dyDescent="0.3">
      <c r="A10" s="90" t="s">
        <v>11</v>
      </c>
      <c r="B10" s="90" t="s">
        <v>26</v>
      </c>
      <c r="C10" s="91" t="s">
        <v>201</v>
      </c>
      <c r="D10" s="92">
        <v>45733</v>
      </c>
      <c r="E10" s="92">
        <f>D10+365</f>
        <v>46098</v>
      </c>
      <c r="F10" s="93">
        <v>41087</v>
      </c>
      <c r="G10" s="93">
        <v>44004</v>
      </c>
      <c r="H10" s="168" t="s">
        <v>27</v>
      </c>
      <c r="I10" s="168" t="s">
        <v>217</v>
      </c>
      <c r="J10" s="168" t="s">
        <v>184</v>
      </c>
    </row>
    <row r="11" spans="1:14" ht="36" customHeight="1" x14ac:dyDescent="0.3">
      <c r="A11" s="90" t="s">
        <v>14</v>
      </c>
      <c r="B11" s="90" t="s">
        <v>12</v>
      </c>
      <c r="C11" s="91" t="s">
        <v>236</v>
      </c>
      <c r="D11" s="92">
        <v>45373</v>
      </c>
      <c r="E11" s="92">
        <v>46103</v>
      </c>
      <c r="F11" s="94">
        <v>256718</v>
      </c>
      <c r="G11" s="94">
        <v>299315</v>
      </c>
      <c r="H11" s="168" t="s">
        <v>95</v>
      </c>
      <c r="I11" s="168" t="s">
        <v>68</v>
      </c>
      <c r="J11" s="168" t="s">
        <v>393</v>
      </c>
    </row>
    <row r="12" spans="1:14" ht="36" customHeight="1" x14ac:dyDescent="0.3">
      <c r="A12" s="90" t="s">
        <v>17</v>
      </c>
      <c r="B12" s="90" t="s">
        <v>12</v>
      </c>
      <c r="C12" s="91" t="s">
        <v>235</v>
      </c>
      <c r="D12" s="92">
        <v>45373</v>
      </c>
      <c r="E12" s="92">
        <v>46103</v>
      </c>
      <c r="F12" s="94">
        <v>8368</v>
      </c>
      <c r="G12" s="94">
        <v>9756</v>
      </c>
      <c r="H12" s="168" t="s">
        <v>95</v>
      </c>
      <c r="I12" s="168" t="s">
        <v>68</v>
      </c>
      <c r="J12" s="168" t="s">
        <v>394</v>
      </c>
      <c r="N12" s="47" t="s">
        <v>133</v>
      </c>
    </row>
    <row r="13" spans="1:14" ht="36" customHeight="1" x14ac:dyDescent="0.3">
      <c r="A13" s="90" t="s">
        <v>19</v>
      </c>
      <c r="B13" s="90" t="s">
        <v>12</v>
      </c>
      <c r="C13" s="91" t="s">
        <v>387</v>
      </c>
      <c r="D13" s="92">
        <v>45736</v>
      </c>
      <c r="E13" s="92">
        <v>46193</v>
      </c>
      <c r="F13" s="94">
        <v>6844</v>
      </c>
      <c r="G13" s="94">
        <v>7529</v>
      </c>
      <c r="H13" s="168" t="s">
        <v>384</v>
      </c>
      <c r="I13" s="168" t="s">
        <v>385</v>
      </c>
      <c r="J13" s="168" t="s">
        <v>395</v>
      </c>
    </row>
    <row r="14" spans="1:14" ht="25.5" customHeight="1" x14ac:dyDescent="0.35">
      <c r="A14" s="182" t="s">
        <v>386</v>
      </c>
      <c r="B14" s="182"/>
      <c r="C14" s="182"/>
      <c r="D14" s="182"/>
      <c r="E14" s="182"/>
      <c r="F14" s="182"/>
      <c r="G14" s="182"/>
      <c r="H14" s="182"/>
      <c r="I14" s="182"/>
      <c r="J14" s="182"/>
    </row>
    <row r="15" spans="1:14" ht="25.5" customHeight="1" x14ac:dyDescent="0.3">
      <c r="A15" s="90" t="s">
        <v>11</v>
      </c>
      <c r="B15" s="90" t="s">
        <v>12</v>
      </c>
      <c r="C15" s="91" t="s">
        <v>388</v>
      </c>
      <c r="D15" s="92">
        <v>45736</v>
      </c>
      <c r="E15" s="92">
        <v>46193</v>
      </c>
      <c r="F15" s="94">
        <v>3500</v>
      </c>
      <c r="G15" s="94">
        <v>350</v>
      </c>
      <c r="H15" s="168" t="s">
        <v>384</v>
      </c>
      <c r="I15" s="168" t="s">
        <v>385</v>
      </c>
      <c r="J15" s="168" t="s">
        <v>396</v>
      </c>
    </row>
    <row r="16" spans="1:14" ht="25.5" customHeight="1" x14ac:dyDescent="0.3">
      <c r="A16" s="95"/>
      <c r="B16" s="95"/>
      <c r="C16" s="96"/>
      <c r="D16" s="97"/>
      <c r="E16" s="97"/>
      <c r="F16" s="98"/>
      <c r="G16" s="98"/>
      <c r="H16" s="99"/>
      <c r="I16" s="99"/>
      <c r="J16" s="100"/>
    </row>
    <row r="17" spans="1:10" ht="25.5" customHeight="1" x14ac:dyDescent="0.35">
      <c r="A17" s="182" t="s">
        <v>244</v>
      </c>
      <c r="B17" s="185"/>
      <c r="C17" s="185"/>
      <c r="D17" s="185"/>
      <c r="E17" s="185"/>
      <c r="F17" s="185"/>
      <c r="G17" s="185"/>
      <c r="H17" s="185"/>
      <c r="I17" s="185"/>
      <c r="J17" s="186"/>
    </row>
    <row r="18" spans="1:10" ht="41.4" x14ac:dyDescent="0.3">
      <c r="A18" s="6" t="s">
        <v>2</v>
      </c>
      <c r="B18" s="6" t="s">
        <v>3</v>
      </c>
      <c r="C18" s="4" t="s">
        <v>4</v>
      </c>
      <c r="D18" s="5" t="s">
        <v>5</v>
      </c>
      <c r="E18" s="6" t="s">
        <v>6</v>
      </c>
      <c r="F18" s="6" t="s">
        <v>205</v>
      </c>
      <c r="G18" s="6" t="s">
        <v>8</v>
      </c>
      <c r="H18" s="6" t="s">
        <v>9</v>
      </c>
      <c r="I18" s="4" t="s">
        <v>61</v>
      </c>
      <c r="J18" s="6" t="s">
        <v>10</v>
      </c>
    </row>
    <row r="19" spans="1:10" ht="34.200000000000003" x14ac:dyDescent="0.3">
      <c r="A19" s="90" t="s">
        <v>11</v>
      </c>
      <c r="B19" s="90" t="s">
        <v>26</v>
      </c>
      <c r="C19" s="101" t="s">
        <v>237</v>
      </c>
      <c r="D19" s="102">
        <v>45334</v>
      </c>
      <c r="E19" s="102">
        <v>46338</v>
      </c>
      <c r="F19" s="103">
        <v>100000</v>
      </c>
      <c r="G19" s="104">
        <v>121846</v>
      </c>
      <c r="H19" s="168" t="s">
        <v>243</v>
      </c>
      <c r="I19" s="168" t="s">
        <v>71</v>
      </c>
      <c r="J19" s="177" t="s">
        <v>397</v>
      </c>
    </row>
    <row r="20" spans="1:10" ht="34.200000000000003" x14ac:dyDescent="0.3">
      <c r="A20" s="90" t="s">
        <v>14</v>
      </c>
      <c r="B20" s="90" t="s">
        <v>15</v>
      </c>
      <c r="C20" s="101" t="s">
        <v>238</v>
      </c>
      <c r="D20" s="102">
        <v>45334</v>
      </c>
      <c r="E20" s="102">
        <v>46338</v>
      </c>
      <c r="F20" s="103">
        <v>100000</v>
      </c>
      <c r="G20" s="104">
        <v>121846</v>
      </c>
      <c r="H20" s="168" t="s">
        <v>243</v>
      </c>
      <c r="I20" s="168" t="s">
        <v>71</v>
      </c>
      <c r="J20" s="178"/>
    </row>
    <row r="21" spans="1:10" ht="34.200000000000003" x14ac:dyDescent="0.3">
      <c r="A21" s="90" t="s">
        <v>17</v>
      </c>
      <c r="B21" s="90" t="s">
        <v>15</v>
      </c>
      <c r="C21" s="101" t="s">
        <v>239</v>
      </c>
      <c r="D21" s="102">
        <v>45334</v>
      </c>
      <c r="E21" s="102">
        <v>46338</v>
      </c>
      <c r="F21" s="103">
        <v>100000</v>
      </c>
      <c r="G21" s="104">
        <v>121846</v>
      </c>
      <c r="H21" s="168" t="s">
        <v>243</v>
      </c>
      <c r="I21" s="168" t="s">
        <v>71</v>
      </c>
      <c r="J21" s="178"/>
    </row>
    <row r="22" spans="1:10" ht="34.200000000000003" x14ac:dyDescent="0.3">
      <c r="A22" s="90" t="s">
        <v>19</v>
      </c>
      <c r="B22" s="90" t="s">
        <v>15</v>
      </c>
      <c r="C22" s="101" t="s">
        <v>240</v>
      </c>
      <c r="D22" s="102">
        <v>45334</v>
      </c>
      <c r="E22" s="102">
        <v>46338</v>
      </c>
      <c r="F22" s="103">
        <v>100000</v>
      </c>
      <c r="G22" s="104">
        <v>121846</v>
      </c>
      <c r="H22" s="168" t="s">
        <v>243</v>
      </c>
      <c r="I22" s="168" t="s">
        <v>71</v>
      </c>
      <c r="J22" s="178"/>
    </row>
    <row r="23" spans="1:10" ht="25.5" customHeight="1" x14ac:dyDescent="0.3">
      <c r="A23" s="90" t="s">
        <v>21</v>
      </c>
      <c r="B23" s="90" t="s">
        <v>15</v>
      </c>
      <c r="C23" s="101" t="s">
        <v>241</v>
      </c>
      <c r="D23" s="102">
        <v>45334</v>
      </c>
      <c r="E23" s="102">
        <v>46338</v>
      </c>
      <c r="F23" s="103">
        <v>100000</v>
      </c>
      <c r="G23" s="104">
        <v>121846</v>
      </c>
      <c r="H23" s="168" t="s">
        <v>243</v>
      </c>
      <c r="I23" s="168" t="s">
        <v>71</v>
      </c>
      <c r="J23" s="178"/>
    </row>
    <row r="24" spans="1:10" ht="34.200000000000003" x14ac:dyDescent="0.3">
      <c r="A24" s="90" t="s">
        <v>23</v>
      </c>
      <c r="B24" s="90" t="s">
        <v>15</v>
      </c>
      <c r="C24" s="101" t="s">
        <v>242</v>
      </c>
      <c r="D24" s="92">
        <v>45369</v>
      </c>
      <c r="E24" s="92">
        <v>46374</v>
      </c>
      <c r="F24" s="103">
        <v>50000</v>
      </c>
      <c r="G24" s="104">
        <v>60923</v>
      </c>
      <c r="H24" s="168" t="s">
        <v>243</v>
      </c>
      <c r="I24" s="168" t="s">
        <v>71</v>
      </c>
      <c r="J24" s="179"/>
    </row>
    <row r="25" spans="1:10" ht="25.5" customHeight="1" x14ac:dyDescent="0.3">
      <c r="A25" s="90" t="s">
        <v>25</v>
      </c>
      <c r="B25" s="90" t="s">
        <v>15</v>
      </c>
      <c r="C25" s="101" t="s">
        <v>389</v>
      </c>
      <c r="D25" s="92">
        <v>45740</v>
      </c>
      <c r="E25" s="102">
        <f>D25+271</f>
        <v>46011</v>
      </c>
      <c r="F25" s="103">
        <v>28224</v>
      </c>
      <c r="G25" s="103">
        <v>29481</v>
      </c>
      <c r="H25" s="168" t="s">
        <v>209</v>
      </c>
      <c r="I25" s="168" t="s">
        <v>148</v>
      </c>
      <c r="J25" s="21" t="s">
        <v>390</v>
      </c>
    </row>
  </sheetData>
  <mergeCells count="6">
    <mergeCell ref="A2:J2"/>
    <mergeCell ref="A4:J4"/>
    <mergeCell ref="A6:J6"/>
    <mergeCell ref="A17:J17"/>
    <mergeCell ref="J19:J24"/>
    <mergeCell ref="A14:J1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22"/>
  <sheetViews>
    <sheetView workbookViewId="0">
      <selection activeCell="N9" sqref="N9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8.55468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45.5546875" style="47" customWidth="1"/>
    <col min="11" max="16384" width="9.109375" style="47"/>
  </cols>
  <sheetData>
    <row r="1" spans="1:14" ht="17.399999999999999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4" x14ac:dyDescent="0.3">
      <c r="A2" s="181" t="s">
        <v>234</v>
      </c>
      <c r="B2" s="181"/>
      <c r="C2" s="181"/>
      <c r="D2" s="181"/>
      <c r="E2" s="181"/>
      <c r="F2" s="181"/>
      <c r="G2" s="181"/>
      <c r="H2" s="181"/>
      <c r="I2" s="181"/>
      <c r="J2" s="181"/>
    </row>
    <row r="3" spans="1:14" x14ac:dyDescent="0.3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4" ht="15.6" x14ac:dyDescent="0.35">
      <c r="A4" s="182" t="s">
        <v>1</v>
      </c>
      <c r="B4" s="182"/>
      <c r="C4" s="182"/>
      <c r="D4" s="182"/>
      <c r="E4" s="182"/>
      <c r="F4" s="182"/>
      <c r="G4" s="182"/>
      <c r="H4" s="182"/>
      <c r="I4" s="182"/>
      <c r="J4" s="182"/>
    </row>
    <row r="5" spans="1:14" ht="25.5" customHeight="1" x14ac:dyDescent="0.3">
      <c r="A5" s="4" t="s">
        <v>2</v>
      </c>
      <c r="B5" s="4" t="s">
        <v>3</v>
      </c>
      <c r="C5" s="4" t="s">
        <v>4</v>
      </c>
      <c r="D5" s="5" t="s">
        <v>5</v>
      </c>
      <c r="E5" s="4" t="s">
        <v>6</v>
      </c>
      <c r="F5" s="6" t="s">
        <v>7</v>
      </c>
      <c r="G5" s="4" t="s">
        <v>8</v>
      </c>
      <c r="H5" s="4" t="s">
        <v>9</v>
      </c>
      <c r="I5" s="4" t="s">
        <v>61</v>
      </c>
      <c r="J5" s="4" t="s">
        <v>10</v>
      </c>
    </row>
    <row r="6" spans="1:14" ht="36" customHeight="1" x14ac:dyDescent="0.3">
      <c r="A6" s="90" t="s">
        <v>11</v>
      </c>
      <c r="B6" s="90" t="s">
        <v>26</v>
      </c>
      <c r="C6" s="91" t="s">
        <v>201</v>
      </c>
      <c r="D6" s="92">
        <v>45733</v>
      </c>
      <c r="E6" s="92">
        <f>D6+365</f>
        <v>46098</v>
      </c>
      <c r="F6" s="93">
        <v>41087</v>
      </c>
      <c r="G6" s="93">
        <v>44004</v>
      </c>
      <c r="H6" s="168" t="s">
        <v>27</v>
      </c>
      <c r="I6" s="168" t="s">
        <v>217</v>
      </c>
      <c r="J6" s="168" t="s">
        <v>184</v>
      </c>
    </row>
    <row r="7" spans="1:14" ht="36" customHeight="1" x14ac:dyDescent="0.3">
      <c r="A7" s="90" t="s">
        <v>14</v>
      </c>
      <c r="B7" s="90" t="s">
        <v>12</v>
      </c>
      <c r="C7" s="91" t="s">
        <v>236</v>
      </c>
      <c r="D7" s="92">
        <v>45373</v>
      </c>
      <c r="E7" s="92">
        <v>46103</v>
      </c>
      <c r="F7" s="94">
        <v>256718</v>
      </c>
      <c r="G7" s="94">
        <v>299315</v>
      </c>
      <c r="H7" s="168" t="s">
        <v>95</v>
      </c>
      <c r="I7" s="168" t="s">
        <v>68</v>
      </c>
      <c r="J7" s="168" t="s">
        <v>393</v>
      </c>
    </row>
    <row r="8" spans="1:14" ht="36" customHeight="1" x14ac:dyDescent="0.3">
      <c r="A8" s="90" t="s">
        <v>17</v>
      </c>
      <c r="B8" s="90" t="s">
        <v>12</v>
      </c>
      <c r="C8" s="91" t="s">
        <v>235</v>
      </c>
      <c r="D8" s="92">
        <v>45373</v>
      </c>
      <c r="E8" s="92">
        <v>46103</v>
      </c>
      <c r="F8" s="94">
        <v>8368</v>
      </c>
      <c r="G8" s="94">
        <v>9756</v>
      </c>
      <c r="H8" s="168" t="s">
        <v>95</v>
      </c>
      <c r="I8" s="168" t="s">
        <v>68</v>
      </c>
      <c r="J8" s="168" t="s">
        <v>394</v>
      </c>
      <c r="N8" s="47" t="s">
        <v>133</v>
      </c>
    </row>
    <row r="9" spans="1:14" ht="36" customHeight="1" x14ac:dyDescent="0.3">
      <c r="A9" s="90" t="s">
        <v>19</v>
      </c>
      <c r="B9" s="90" t="s">
        <v>12</v>
      </c>
      <c r="C9" s="91" t="s">
        <v>387</v>
      </c>
      <c r="D9" s="92">
        <v>45736</v>
      </c>
      <c r="E9" s="92">
        <v>46193</v>
      </c>
      <c r="F9" s="94">
        <v>6844</v>
      </c>
      <c r="G9" s="94">
        <v>7529</v>
      </c>
      <c r="H9" s="168" t="s">
        <v>384</v>
      </c>
      <c r="I9" s="168" t="s">
        <v>385</v>
      </c>
      <c r="J9" s="168" t="s">
        <v>395</v>
      </c>
    </row>
    <row r="10" spans="1:14" ht="25.5" customHeight="1" x14ac:dyDescent="0.3">
      <c r="A10" s="90"/>
      <c r="B10" s="90"/>
      <c r="C10" s="91"/>
      <c r="D10" s="92"/>
      <c r="E10" s="92"/>
      <c r="F10" s="94"/>
      <c r="G10" s="94"/>
      <c r="H10" s="168"/>
      <c r="I10" s="168"/>
      <c r="J10" s="168"/>
    </row>
    <row r="11" spans="1:14" ht="25.5" customHeight="1" x14ac:dyDescent="0.35">
      <c r="A11" s="183" t="s">
        <v>386</v>
      </c>
      <c r="B11" s="182"/>
      <c r="C11" s="182"/>
      <c r="D11" s="182"/>
      <c r="E11" s="182"/>
      <c r="F11" s="182"/>
      <c r="G11" s="182"/>
      <c r="H11" s="182"/>
      <c r="I11" s="182"/>
      <c r="J11" s="184"/>
    </row>
    <row r="12" spans="1:14" ht="36" customHeight="1" x14ac:dyDescent="0.3">
      <c r="A12" s="90" t="s">
        <v>11</v>
      </c>
      <c r="B12" s="90" t="s">
        <v>12</v>
      </c>
      <c r="C12" s="91" t="s">
        <v>388</v>
      </c>
      <c r="D12" s="92">
        <v>45736</v>
      </c>
      <c r="E12" s="92">
        <v>46193</v>
      </c>
      <c r="F12" s="94">
        <v>3500</v>
      </c>
      <c r="G12" s="94">
        <v>350</v>
      </c>
      <c r="H12" s="168" t="s">
        <v>384</v>
      </c>
      <c r="I12" s="168" t="s">
        <v>385</v>
      </c>
      <c r="J12" s="168" t="s">
        <v>396</v>
      </c>
    </row>
    <row r="13" spans="1:14" ht="25.5" customHeight="1" x14ac:dyDescent="0.3">
      <c r="A13" s="169"/>
      <c r="B13" s="95"/>
      <c r="C13" s="96"/>
      <c r="D13" s="97"/>
      <c r="E13" s="97"/>
      <c r="F13" s="98"/>
      <c r="G13" s="98"/>
      <c r="H13" s="99"/>
      <c r="I13" s="99"/>
      <c r="J13" s="100"/>
    </row>
    <row r="14" spans="1:14" ht="25.5" customHeight="1" x14ac:dyDescent="0.35">
      <c r="A14" s="183" t="s">
        <v>391</v>
      </c>
      <c r="B14" s="185"/>
      <c r="C14" s="185"/>
      <c r="D14" s="185"/>
      <c r="E14" s="185"/>
      <c r="F14" s="185"/>
      <c r="G14" s="185"/>
      <c r="H14" s="185"/>
      <c r="I14" s="185"/>
      <c r="J14" s="186"/>
    </row>
    <row r="15" spans="1:14" ht="41.4" x14ac:dyDescent="0.3">
      <c r="A15" s="6" t="s">
        <v>2</v>
      </c>
      <c r="B15" s="6" t="s">
        <v>3</v>
      </c>
      <c r="C15" s="4" t="s">
        <v>4</v>
      </c>
      <c r="D15" s="5" t="s">
        <v>5</v>
      </c>
      <c r="E15" s="6" t="s">
        <v>6</v>
      </c>
      <c r="F15" s="6" t="s">
        <v>205</v>
      </c>
      <c r="G15" s="6" t="s">
        <v>8</v>
      </c>
      <c r="H15" s="6" t="s">
        <v>9</v>
      </c>
      <c r="I15" s="4" t="s">
        <v>61</v>
      </c>
      <c r="J15" s="6" t="s">
        <v>10</v>
      </c>
    </row>
    <row r="16" spans="1:14" ht="36" customHeight="1" x14ac:dyDescent="0.3">
      <c r="A16" s="90" t="s">
        <v>11</v>
      </c>
      <c r="B16" s="90" t="s">
        <v>26</v>
      </c>
      <c r="C16" s="101" t="s">
        <v>237</v>
      </c>
      <c r="D16" s="102">
        <v>45334</v>
      </c>
      <c r="E16" s="102">
        <v>46338</v>
      </c>
      <c r="F16" s="103">
        <v>100000</v>
      </c>
      <c r="G16" s="104">
        <v>121846</v>
      </c>
      <c r="H16" s="168" t="s">
        <v>243</v>
      </c>
      <c r="I16" s="168" t="s">
        <v>71</v>
      </c>
      <c r="J16" s="177" t="s">
        <v>397</v>
      </c>
    </row>
    <row r="17" spans="1:10" ht="36" customHeight="1" x14ac:dyDescent="0.3">
      <c r="A17" s="90" t="s">
        <v>14</v>
      </c>
      <c r="B17" s="90" t="s">
        <v>15</v>
      </c>
      <c r="C17" s="101" t="s">
        <v>238</v>
      </c>
      <c r="D17" s="102">
        <v>45334</v>
      </c>
      <c r="E17" s="102">
        <v>46338</v>
      </c>
      <c r="F17" s="103">
        <v>100000</v>
      </c>
      <c r="G17" s="104">
        <v>121846</v>
      </c>
      <c r="H17" s="168" t="s">
        <v>243</v>
      </c>
      <c r="I17" s="168" t="s">
        <v>71</v>
      </c>
      <c r="J17" s="178"/>
    </row>
    <row r="18" spans="1:10" ht="36" customHeight="1" x14ac:dyDescent="0.3">
      <c r="A18" s="90" t="s">
        <v>17</v>
      </c>
      <c r="B18" s="90" t="s">
        <v>15</v>
      </c>
      <c r="C18" s="101" t="s">
        <v>239</v>
      </c>
      <c r="D18" s="102">
        <v>45334</v>
      </c>
      <c r="E18" s="102">
        <v>46338</v>
      </c>
      <c r="F18" s="103">
        <v>100000</v>
      </c>
      <c r="G18" s="104">
        <v>121846</v>
      </c>
      <c r="H18" s="168" t="s">
        <v>243</v>
      </c>
      <c r="I18" s="168" t="s">
        <v>71</v>
      </c>
      <c r="J18" s="178"/>
    </row>
    <row r="19" spans="1:10" ht="36" customHeight="1" x14ac:dyDescent="0.3">
      <c r="A19" s="90" t="s">
        <v>19</v>
      </c>
      <c r="B19" s="90" t="s">
        <v>15</v>
      </c>
      <c r="C19" s="101" t="s">
        <v>240</v>
      </c>
      <c r="D19" s="102">
        <v>45334</v>
      </c>
      <c r="E19" s="102">
        <v>46338</v>
      </c>
      <c r="F19" s="103">
        <v>100000</v>
      </c>
      <c r="G19" s="104">
        <v>121846</v>
      </c>
      <c r="H19" s="168" t="s">
        <v>243</v>
      </c>
      <c r="I19" s="168" t="s">
        <v>71</v>
      </c>
      <c r="J19" s="178"/>
    </row>
    <row r="20" spans="1:10" ht="36" customHeight="1" x14ac:dyDescent="0.3">
      <c r="A20" s="90" t="s">
        <v>21</v>
      </c>
      <c r="B20" s="90" t="s">
        <v>15</v>
      </c>
      <c r="C20" s="101" t="s">
        <v>241</v>
      </c>
      <c r="D20" s="102">
        <v>45334</v>
      </c>
      <c r="E20" s="102">
        <v>46338</v>
      </c>
      <c r="F20" s="103">
        <v>100000</v>
      </c>
      <c r="G20" s="104">
        <v>121846</v>
      </c>
      <c r="H20" s="168" t="s">
        <v>243</v>
      </c>
      <c r="I20" s="168" t="s">
        <v>71</v>
      </c>
      <c r="J20" s="178"/>
    </row>
    <row r="21" spans="1:10" ht="36" customHeight="1" x14ac:dyDescent="0.3">
      <c r="A21" s="90" t="s">
        <v>23</v>
      </c>
      <c r="B21" s="90" t="s">
        <v>15</v>
      </c>
      <c r="C21" s="101" t="s">
        <v>242</v>
      </c>
      <c r="D21" s="92">
        <v>45369</v>
      </c>
      <c r="E21" s="92">
        <v>46374</v>
      </c>
      <c r="F21" s="103">
        <v>50000</v>
      </c>
      <c r="G21" s="104">
        <v>60923</v>
      </c>
      <c r="H21" s="168" t="s">
        <v>243</v>
      </c>
      <c r="I21" s="168" t="s">
        <v>71</v>
      </c>
      <c r="J21" s="179"/>
    </row>
    <row r="22" spans="1:10" ht="36" customHeight="1" x14ac:dyDescent="0.3">
      <c r="A22" s="90" t="s">
        <v>25</v>
      </c>
      <c r="B22" s="90" t="s">
        <v>15</v>
      </c>
      <c r="C22" s="101" t="s">
        <v>389</v>
      </c>
      <c r="D22" s="92">
        <v>45740</v>
      </c>
      <c r="E22" s="102">
        <f>D22+271</f>
        <v>46011</v>
      </c>
      <c r="F22" s="103">
        <v>28224</v>
      </c>
      <c r="G22" s="103">
        <v>29481</v>
      </c>
      <c r="H22" s="168" t="s">
        <v>209</v>
      </c>
      <c r="I22" s="168" t="s">
        <v>148</v>
      </c>
      <c r="J22" s="21" t="s">
        <v>392</v>
      </c>
    </row>
  </sheetData>
  <mergeCells count="6">
    <mergeCell ref="A1:J1"/>
    <mergeCell ref="A2:J2"/>
    <mergeCell ref="A4:J4"/>
    <mergeCell ref="A14:J14"/>
    <mergeCell ref="J16:J21"/>
    <mergeCell ref="A11:J11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rowBreaks count="1" manualBreakCount="1">
    <brk id="14" max="16383" man="1"/>
  </rowBreaks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5"/>
  <sheetViews>
    <sheetView workbookViewId="0">
      <selection activeCell="J24" sqref="J24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8.55468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45.5546875" style="47" customWidth="1"/>
    <col min="11" max="16384" width="9.109375" style="47"/>
  </cols>
  <sheetData>
    <row r="1" spans="1:14" ht="17.399999999999999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4" x14ac:dyDescent="0.3">
      <c r="A2" s="181" t="s">
        <v>383</v>
      </c>
      <c r="B2" s="181"/>
      <c r="C2" s="181"/>
      <c r="D2" s="181"/>
      <c r="E2" s="181"/>
      <c r="F2" s="181"/>
      <c r="G2" s="181"/>
      <c r="H2" s="181"/>
      <c r="I2" s="181"/>
      <c r="J2" s="181"/>
    </row>
    <row r="3" spans="1:14" x14ac:dyDescent="0.3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4" ht="15.6" x14ac:dyDescent="0.35">
      <c r="A4" s="182" t="s">
        <v>1</v>
      </c>
      <c r="B4" s="182"/>
      <c r="C4" s="182"/>
      <c r="D4" s="182"/>
      <c r="E4" s="182"/>
      <c r="F4" s="182"/>
      <c r="G4" s="182"/>
      <c r="H4" s="182"/>
      <c r="I4" s="182"/>
      <c r="J4" s="182"/>
    </row>
    <row r="5" spans="1:14" ht="25.5" customHeight="1" x14ac:dyDescent="0.3">
      <c r="A5" s="4" t="s">
        <v>2</v>
      </c>
      <c r="B5" s="4" t="s">
        <v>3</v>
      </c>
      <c r="C5" s="4" t="s">
        <v>4</v>
      </c>
      <c r="D5" s="5" t="s">
        <v>5</v>
      </c>
      <c r="E5" s="4" t="s">
        <v>6</v>
      </c>
      <c r="F5" s="6" t="s">
        <v>7</v>
      </c>
      <c r="G5" s="4" t="s">
        <v>8</v>
      </c>
      <c r="H5" s="4" t="s">
        <v>9</v>
      </c>
      <c r="I5" s="4" t="s">
        <v>61</v>
      </c>
      <c r="J5" s="4" t="s">
        <v>10</v>
      </c>
    </row>
    <row r="6" spans="1:14" ht="36" customHeight="1" x14ac:dyDescent="0.3">
      <c r="A6" s="90" t="s">
        <v>11</v>
      </c>
      <c r="B6" s="90" t="s">
        <v>26</v>
      </c>
      <c r="C6" s="91" t="s">
        <v>201</v>
      </c>
      <c r="D6" s="92">
        <v>45733</v>
      </c>
      <c r="E6" s="92">
        <f>D6+365</f>
        <v>46098</v>
      </c>
      <c r="F6" s="93">
        <v>41087</v>
      </c>
      <c r="G6" s="93">
        <v>44004</v>
      </c>
      <c r="H6" s="168" t="s">
        <v>27</v>
      </c>
      <c r="I6" s="168" t="s">
        <v>217</v>
      </c>
      <c r="J6" s="168" t="s">
        <v>184</v>
      </c>
    </row>
    <row r="7" spans="1:14" ht="36" customHeight="1" x14ac:dyDescent="0.3">
      <c r="A7" s="159" t="s">
        <v>14</v>
      </c>
      <c r="B7" s="164" t="s">
        <v>12</v>
      </c>
      <c r="C7" s="160" t="s">
        <v>236</v>
      </c>
      <c r="D7" s="165">
        <v>45373</v>
      </c>
      <c r="E7" s="161">
        <v>46103</v>
      </c>
      <c r="F7" s="170">
        <v>256718</v>
      </c>
      <c r="G7" s="172" t="s">
        <v>399</v>
      </c>
      <c r="H7" s="171" t="s">
        <v>398</v>
      </c>
      <c r="I7" s="173" t="s">
        <v>400</v>
      </c>
      <c r="J7" s="167" t="s">
        <v>393</v>
      </c>
    </row>
    <row r="8" spans="1:14" ht="36" customHeight="1" x14ac:dyDescent="0.3">
      <c r="A8" s="90" t="s">
        <v>14</v>
      </c>
      <c r="B8" s="90" t="s">
        <v>12</v>
      </c>
      <c r="C8" s="91" t="s">
        <v>235</v>
      </c>
      <c r="D8" s="92">
        <v>46103</v>
      </c>
      <c r="E8" s="92">
        <v>46834</v>
      </c>
      <c r="F8" s="94">
        <v>9756</v>
      </c>
      <c r="G8" s="94">
        <v>11154</v>
      </c>
      <c r="H8" s="168" t="s">
        <v>95</v>
      </c>
      <c r="I8" s="168" t="s">
        <v>138</v>
      </c>
      <c r="J8" s="168" t="s">
        <v>394</v>
      </c>
      <c r="N8" s="47" t="s">
        <v>133</v>
      </c>
    </row>
    <row r="9" spans="1:14" ht="36" customHeight="1" x14ac:dyDescent="0.3">
      <c r="A9" s="90" t="s">
        <v>17</v>
      </c>
      <c r="B9" s="90" t="s">
        <v>12</v>
      </c>
      <c r="C9" s="91" t="s">
        <v>387</v>
      </c>
      <c r="D9" s="92">
        <v>45736</v>
      </c>
      <c r="E9" s="92">
        <v>46193</v>
      </c>
      <c r="F9" s="94">
        <v>6844</v>
      </c>
      <c r="G9" s="94">
        <v>7529</v>
      </c>
      <c r="H9" s="168" t="s">
        <v>384</v>
      </c>
      <c r="I9" s="168" t="s">
        <v>385</v>
      </c>
      <c r="J9" s="168" t="s">
        <v>395</v>
      </c>
    </row>
    <row r="10" spans="1:14" ht="36" customHeight="1" x14ac:dyDescent="0.3">
      <c r="A10" s="90" t="s">
        <v>19</v>
      </c>
      <c r="B10" s="90" t="s">
        <v>12</v>
      </c>
      <c r="C10" s="91" t="s">
        <v>408</v>
      </c>
      <c r="D10" s="92">
        <v>46111</v>
      </c>
      <c r="E10" s="92">
        <v>46934</v>
      </c>
      <c r="F10" s="94">
        <v>6636</v>
      </c>
      <c r="G10" s="94">
        <v>7587</v>
      </c>
      <c r="H10" s="168" t="s">
        <v>95</v>
      </c>
      <c r="I10" s="168" t="s">
        <v>138</v>
      </c>
      <c r="J10" s="168" t="s">
        <v>405</v>
      </c>
    </row>
    <row r="11" spans="1:14" ht="25.5" customHeight="1" x14ac:dyDescent="0.3">
      <c r="A11" s="90"/>
      <c r="B11" s="90"/>
      <c r="C11" s="91"/>
      <c r="D11" s="92"/>
      <c r="E11" s="92"/>
      <c r="F11" s="94"/>
      <c r="G11" s="94"/>
      <c r="H11" s="168"/>
      <c r="I11" s="168"/>
      <c r="J11" s="168"/>
    </row>
    <row r="12" spans="1:14" ht="25.5" customHeight="1" x14ac:dyDescent="0.35">
      <c r="A12" s="183" t="s">
        <v>386</v>
      </c>
      <c r="B12" s="182"/>
      <c r="C12" s="182"/>
      <c r="D12" s="182"/>
      <c r="E12" s="182"/>
      <c r="F12" s="182"/>
      <c r="G12" s="182"/>
      <c r="H12" s="182"/>
      <c r="I12" s="182"/>
      <c r="J12" s="184"/>
    </row>
    <row r="13" spans="1:14" ht="36" customHeight="1" x14ac:dyDescent="0.3">
      <c r="A13" s="90" t="s">
        <v>11</v>
      </c>
      <c r="B13" s="90" t="s">
        <v>12</v>
      </c>
      <c r="C13" s="91" t="s">
        <v>388</v>
      </c>
      <c r="D13" s="92">
        <v>45736</v>
      </c>
      <c r="E13" s="92">
        <v>46193</v>
      </c>
      <c r="F13" s="94">
        <v>3500</v>
      </c>
      <c r="G13" s="94">
        <v>350</v>
      </c>
      <c r="H13" s="168" t="s">
        <v>384</v>
      </c>
      <c r="I13" s="168" t="s">
        <v>385</v>
      </c>
      <c r="J13" s="168" t="s">
        <v>396</v>
      </c>
    </row>
    <row r="14" spans="1:14" ht="25.5" customHeight="1" x14ac:dyDescent="0.3">
      <c r="A14" s="169"/>
      <c r="B14" s="95"/>
      <c r="C14" s="96"/>
      <c r="D14" s="97"/>
      <c r="E14" s="97"/>
      <c r="F14" s="98"/>
      <c r="G14" s="98"/>
      <c r="H14" s="99"/>
      <c r="I14" s="99"/>
      <c r="J14" s="100"/>
    </row>
    <row r="15" spans="1:14" ht="25.5" customHeight="1" x14ac:dyDescent="0.35">
      <c r="A15" s="183" t="s">
        <v>391</v>
      </c>
      <c r="B15" s="185"/>
      <c r="C15" s="185"/>
      <c r="D15" s="185"/>
      <c r="E15" s="185"/>
      <c r="F15" s="185"/>
      <c r="G15" s="185"/>
      <c r="H15" s="185"/>
      <c r="I15" s="185"/>
      <c r="J15" s="186"/>
    </row>
    <row r="16" spans="1:14" ht="41.4" x14ac:dyDescent="0.3">
      <c r="A16" s="6" t="s">
        <v>2</v>
      </c>
      <c r="B16" s="6" t="s">
        <v>3</v>
      </c>
      <c r="C16" s="4" t="s">
        <v>4</v>
      </c>
      <c r="D16" s="5" t="s">
        <v>5</v>
      </c>
      <c r="E16" s="6" t="s">
        <v>6</v>
      </c>
      <c r="F16" s="6" t="s">
        <v>205</v>
      </c>
      <c r="G16" s="6" t="s">
        <v>8</v>
      </c>
      <c r="H16" s="6" t="s">
        <v>9</v>
      </c>
      <c r="I16" s="4" t="s">
        <v>61</v>
      </c>
      <c r="J16" s="6" t="s">
        <v>10</v>
      </c>
    </row>
    <row r="17" spans="1:10" ht="36" customHeight="1" x14ac:dyDescent="0.3">
      <c r="A17" s="90" t="s">
        <v>11</v>
      </c>
      <c r="B17" s="90" t="s">
        <v>26</v>
      </c>
      <c r="C17" s="101" t="s">
        <v>237</v>
      </c>
      <c r="D17" s="102">
        <v>45334</v>
      </c>
      <c r="E17" s="102">
        <v>46338</v>
      </c>
      <c r="F17" s="103">
        <v>100000</v>
      </c>
      <c r="G17" s="104">
        <v>121846</v>
      </c>
      <c r="H17" s="168" t="s">
        <v>243</v>
      </c>
      <c r="I17" s="168" t="s">
        <v>71</v>
      </c>
      <c r="J17" s="177" t="s">
        <v>397</v>
      </c>
    </row>
    <row r="18" spans="1:10" ht="36" customHeight="1" x14ac:dyDescent="0.3">
      <c r="A18" s="90" t="s">
        <v>14</v>
      </c>
      <c r="B18" s="90" t="s">
        <v>15</v>
      </c>
      <c r="C18" s="101" t="s">
        <v>238</v>
      </c>
      <c r="D18" s="102">
        <v>45334</v>
      </c>
      <c r="E18" s="102">
        <v>46338</v>
      </c>
      <c r="F18" s="103">
        <v>100000</v>
      </c>
      <c r="G18" s="104">
        <v>121846</v>
      </c>
      <c r="H18" s="168" t="s">
        <v>243</v>
      </c>
      <c r="I18" s="168" t="s">
        <v>71</v>
      </c>
      <c r="J18" s="178"/>
    </row>
    <row r="19" spans="1:10" ht="36" customHeight="1" x14ac:dyDescent="0.3">
      <c r="A19" s="90" t="s">
        <v>17</v>
      </c>
      <c r="B19" s="90" t="s">
        <v>15</v>
      </c>
      <c r="C19" s="101" t="s">
        <v>239</v>
      </c>
      <c r="D19" s="102">
        <v>45334</v>
      </c>
      <c r="E19" s="102">
        <v>46338</v>
      </c>
      <c r="F19" s="103">
        <v>100000</v>
      </c>
      <c r="G19" s="104">
        <v>121846</v>
      </c>
      <c r="H19" s="168" t="s">
        <v>243</v>
      </c>
      <c r="I19" s="168" t="s">
        <v>71</v>
      </c>
      <c r="J19" s="178"/>
    </row>
    <row r="20" spans="1:10" ht="36" customHeight="1" x14ac:dyDescent="0.3">
      <c r="A20" s="90" t="s">
        <v>19</v>
      </c>
      <c r="B20" s="90" t="s">
        <v>15</v>
      </c>
      <c r="C20" s="101" t="s">
        <v>240</v>
      </c>
      <c r="D20" s="102">
        <v>45334</v>
      </c>
      <c r="E20" s="102">
        <v>46338</v>
      </c>
      <c r="F20" s="103">
        <v>100000</v>
      </c>
      <c r="G20" s="104">
        <v>121846</v>
      </c>
      <c r="H20" s="168" t="s">
        <v>243</v>
      </c>
      <c r="I20" s="168" t="s">
        <v>71</v>
      </c>
      <c r="J20" s="178"/>
    </row>
    <row r="21" spans="1:10" ht="36" customHeight="1" x14ac:dyDescent="0.3">
      <c r="A21" s="90" t="s">
        <v>21</v>
      </c>
      <c r="B21" s="90" t="s">
        <v>15</v>
      </c>
      <c r="C21" s="101" t="s">
        <v>241</v>
      </c>
      <c r="D21" s="102">
        <v>45334</v>
      </c>
      <c r="E21" s="102">
        <v>46338</v>
      </c>
      <c r="F21" s="103">
        <v>100000</v>
      </c>
      <c r="G21" s="104">
        <v>121846</v>
      </c>
      <c r="H21" s="168" t="s">
        <v>243</v>
      </c>
      <c r="I21" s="168" t="s">
        <v>71</v>
      </c>
      <c r="J21" s="178"/>
    </row>
    <row r="22" spans="1:10" ht="36" customHeight="1" x14ac:dyDescent="0.3">
      <c r="A22" s="90" t="s">
        <v>23</v>
      </c>
      <c r="B22" s="90" t="s">
        <v>15</v>
      </c>
      <c r="C22" s="101" t="s">
        <v>242</v>
      </c>
      <c r="D22" s="92">
        <v>45369</v>
      </c>
      <c r="E22" s="92">
        <v>46374</v>
      </c>
      <c r="F22" s="103">
        <v>50000</v>
      </c>
      <c r="G22" s="104">
        <v>60923</v>
      </c>
      <c r="H22" s="168" t="s">
        <v>243</v>
      </c>
      <c r="I22" s="168" t="s">
        <v>71</v>
      </c>
      <c r="J22" s="179"/>
    </row>
    <row r="23" spans="1:10" ht="36" customHeight="1" x14ac:dyDescent="0.3">
      <c r="A23" s="159" t="s">
        <v>25</v>
      </c>
      <c r="B23" s="164" t="s">
        <v>15</v>
      </c>
      <c r="C23" s="174" t="s">
        <v>389</v>
      </c>
      <c r="D23" s="165">
        <v>45740</v>
      </c>
      <c r="E23" s="175">
        <f>D23+271</f>
        <v>46011</v>
      </c>
      <c r="F23" s="176">
        <v>28224</v>
      </c>
      <c r="G23" s="172" t="s">
        <v>402</v>
      </c>
      <c r="H23" s="167" t="s">
        <v>209</v>
      </c>
      <c r="I23" s="163" t="s">
        <v>148</v>
      </c>
      <c r="J23" s="167" t="s">
        <v>392</v>
      </c>
    </row>
    <row r="24" spans="1:10" ht="36" customHeight="1" x14ac:dyDescent="0.3">
      <c r="A24" s="90" t="s">
        <v>25</v>
      </c>
      <c r="B24" s="90" t="s">
        <v>15</v>
      </c>
      <c r="C24" s="101" t="s">
        <v>401</v>
      </c>
      <c r="D24" s="92">
        <v>46011</v>
      </c>
      <c r="E24" s="102">
        <v>47107</v>
      </c>
      <c r="F24" s="103">
        <v>30000</v>
      </c>
      <c r="G24" s="103">
        <v>36134</v>
      </c>
      <c r="H24" s="168" t="s">
        <v>89</v>
      </c>
      <c r="I24" s="168" t="s">
        <v>146</v>
      </c>
      <c r="J24" s="12" t="s">
        <v>409</v>
      </c>
    </row>
    <row r="25" spans="1:10" ht="36" customHeight="1" x14ac:dyDescent="0.3">
      <c r="A25" s="90" t="s">
        <v>29</v>
      </c>
      <c r="B25" s="90" t="s">
        <v>15</v>
      </c>
      <c r="C25" s="101" t="s">
        <v>406</v>
      </c>
      <c r="D25" s="92">
        <v>46111</v>
      </c>
      <c r="E25" s="102">
        <v>46842</v>
      </c>
      <c r="F25" s="103">
        <v>28224</v>
      </c>
      <c r="G25" s="103">
        <v>31794</v>
      </c>
      <c r="H25" s="168" t="s">
        <v>95</v>
      </c>
      <c r="I25" s="168" t="s">
        <v>146</v>
      </c>
      <c r="J25" s="12" t="s">
        <v>407</v>
      </c>
    </row>
  </sheetData>
  <mergeCells count="6">
    <mergeCell ref="J17:J22"/>
    <mergeCell ref="A1:J1"/>
    <mergeCell ref="A2:J2"/>
    <mergeCell ref="A4:J4"/>
    <mergeCell ref="A12:J12"/>
    <mergeCell ref="A15:J15"/>
  </mergeCells>
  <pageMargins left="0.7" right="0.7" top="0.75" bottom="0.75" header="0.3" footer="0.3"/>
  <pageSetup paperSize="9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tabSelected="1" workbookViewId="0">
      <selection activeCell="P11" sqref="P11"/>
    </sheetView>
  </sheetViews>
  <sheetFormatPr defaultColWidth="9.109375" defaultRowHeight="14.4" x14ac:dyDescent="0.3"/>
  <cols>
    <col min="1" max="1" width="6" style="47" customWidth="1"/>
    <col min="2" max="2" width="6.6640625" style="47" customWidth="1"/>
    <col min="3" max="3" width="18.5546875" style="47" customWidth="1"/>
    <col min="4" max="5" width="11.33203125" style="47" bestFit="1" customWidth="1"/>
    <col min="6" max="7" width="11.44140625" style="47" bestFit="1" customWidth="1"/>
    <col min="8" max="8" width="9.109375" style="47"/>
    <col min="9" max="9" width="6.5546875" style="47" customWidth="1"/>
    <col min="10" max="10" width="45.5546875" style="47" customWidth="1"/>
    <col min="11" max="16384" width="9.109375" style="47"/>
  </cols>
  <sheetData>
    <row r="1" spans="1:14" ht="17.399999999999999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4" x14ac:dyDescent="0.3">
      <c r="A2" s="181" t="s">
        <v>403</v>
      </c>
      <c r="B2" s="181"/>
      <c r="C2" s="181"/>
      <c r="D2" s="181"/>
      <c r="E2" s="181"/>
      <c r="F2" s="181"/>
      <c r="G2" s="181"/>
      <c r="H2" s="181"/>
      <c r="I2" s="181"/>
      <c r="J2" s="181"/>
    </row>
    <row r="3" spans="1:14" x14ac:dyDescent="0.3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4" ht="15.6" x14ac:dyDescent="0.35">
      <c r="A4" s="182" t="s">
        <v>1</v>
      </c>
      <c r="B4" s="182"/>
      <c r="C4" s="182"/>
      <c r="D4" s="182"/>
      <c r="E4" s="182"/>
      <c r="F4" s="182"/>
      <c r="G4" s="182"/>
      <c r="H4" s="182"/>
      <c r="I4" s="182"/>
      <c r="J4" s="182"/>
    </row>
    <row r="5" spans="1:14" ht="25.5" customHeight="1" x14ac:dyDescent="0.3">
      <c r="A5" s="4" t="s">
        <v>2</v>
      </c>
      <c r="B5" s="4" t="s">
        <v>3</v>
      </c>
      <c r="C5" s="4" t="s">
        <v>4</v>
      </c>
      <c r="D5" s="5" t="s">
        <v>5</v>
      </c>
      <c r="E5" s="4" t="s">
        <v>6</v>
      </c>
      <c r="F5" s="6" t="s">
        <v>7</v>
      </c>
      <c r="G5" s="4" t="s">
        <v>8</v>
      </c>
      <c r="H5" s="4" t="s">
        <v>9</v>
      </c>
      <c r="I5" s="4" t="s">
        <v>61</v>
      </c>
      <c r="J5" s="4" t="s">
        <v>10</v>
      </c>
    </row>
    <row r="6" spans="1:14" ht="36" customHeight="1" x14ac:dyDescent="0.3">
      <c r="A6" s="90" t="s">
        <v>11</v>
      </c>
      <c r="B6" s="90" t="s">
        <v>26</v>
      </c>
      <c r="C6" s="91" t="s">
        <v>201</v>
      </c>
      <c r="D6" s="92">
        <v>46098</v>
      </c>
      <c r="E6" s="92">
        <f>D6+365</f>
        <v>46463</v>
      </c>
      <c r="F6" s="93">
        <v>43992</v>
      </c>
      <c r="G6" s="93">
        <v>46676</v>
      </c>
      <c r="H6" s="168" t="s">
        <v>27</v>
      </c>
      <c r="I6" s="168" t="s">
        <v>404</v>
      </c>
      <c r="J6" s="168" t="s">
        <v>184</v>
      </c>
    </row>
    <row r="7" spans="1:14" ht="36" customHeight="1" x14ac:dyDescent="0.3">
      <c r="A7" s="90" t="s">
        <v>14</v>
      </c>
      <c r="B7" s="90" t="s">
        <v>12</v>
      </c>
      <c r="C7" s="91" t="s">
        <v>235</v>
      </c>
      <c r="D7" s="92">
        <v>46103</v>
      </c>
      <c r="E7" s="92">
        <v>46834</v>
      </c>
      <c r="F7" s="94">
        <v>9756</v>
      </c>
      <c r="G7" s="94">
        <v>11154</v>
      </c>
      <c r="H7" s="168" t="s">
        <v>95</v>
      </c>
      <c r="I7" s="168" t="s">
        <v>138</v>
      </c>
      <c r="J7" s="168" t="s">
        <v>394</v>
      </c>
      <c r="N7" s="47" t="s">
        <v>133</v>
      </c>
    </row>
    <row r="8" spans="1:14" ht="36" customHeight="1" x14ac:dyDescent="0.3">
      <c r="A8" s="90" t="s">
        <v>17</v>
      </c>
      <c r="B8" s="90" t="s">
        <v>12</v>
      </c>
      <c r="C8" s="91" t="s">
        <v>387</v>
      </c>
      <c r="D8" s="92">
        <v>45736</v>
      </c>
      <c r="E8" s="92">
        <v>46193</v>
      </c>
      <c r="F8" s="94">
        <v>6844</v>
      </c>
      <c r="G8" s="94">
        <v>7529</v>
      </c>
      <c r="H8" s="168" t="s">
        <v>384</v>
      </c>
      <c r="I8" s="168" t="s">
        <v>385</v>
      </c>
      <c r="J8" s="168" t="s">
        <v>395</v>
      </c>
    </row>
    <row r="9" spans="1:14" ht="36" customHeight="1" x14ac:dyDescent="0.3">
      <c r="A9" s="90" t="s">
        <v>19</v>
      </c>
      <c r="B9" s="90" t="s">
        <v>12</v>
      </c>
      <c r="C9" s="91" t="s">
        <v>408</v>
      </c>
      <c r="D9" s="92">
        <v>46111</v>
      </c>
      <c r="E9" s="92">
        <v>46934</v>
      </c>
      <c r="F9" s="94">
        <v>6636</v>
      </c>
      <c r="G9" s="94">
        <v>7587</v>
      </c>
      <c r="H9" s="168" t="s">
        <v>95</v>
      </c>
      <c r="I9" s="168" t="s">
        <v>138</v>
      </c>
      <c r="J9" s="168" t="s">
        <v>405</v>
      </c>
    </row>
    <row r="10" spans="1:14" ht="25.5" customHeight="1" x14ac:dyDescent="0.3">
      <c r="A10" s="90"/>
      <c r="B10" s="90"/>
      <c r="C10" s="91"/>
      <c r="D10" s="92"/>
      <c r="E10" s="92"/>
      <c r="F10" s="94"/>
      <c r="G10" s="94"/>
      <c r="H10" s="168"/>
      <c r="I10" s="168"/>
      <c r="J10" s="168"/>
    </row>
    <row r="11" spans="1:14" ht="25.5" customHeight="1" x14ac:dyDescent="0.35">
      <c r="A11" s="183" t="s">
        <v>386</v>
      </c>
      <c r="B11" s="182"/>
      <c r="C11" s="182"/>
      <c r="D11" s="182"/>
      <c r="E11" s="182"/>
      <c r="F11" s="182"/>
      <c r="G11" s="182"/>
      <c r="H11" s="182"/>
      <c r="I11" s="182"/>
      <c r="J11" s="184"/>
    </row>
    <row r="12" spans="1:14" ht="36" customHeight="1" x14ac:dyDescent="0.3">
      <c r="A12" s="90" t="s">
        <v>11</v>
      </c>
      <c r="B12" s="90" t="s">
        <v>12</v>
      </c>
      <c r="C12" s="91" t="s">
        <v>388</v>
      </c>
      <c r="D12" s="92">
        <v>45736</v>
      </c>
      <c r="E12" s="92">
        <v>46193</v>
      </c>
      <c r="F12" s="94">
        <v>3500</v>
      </c>
      <c r="G12" s="94">
        <v>350</v>
      </c>
      <c r="H12" s="168" t="s">
        <v>384</v>
      </c>
      <c r="I12" s="168" t="s">
        <v>385</v>
      </c>
      <c r="J12" s="168" t="s">
        <v>396</v>
      </c>
    </row>
    <row r="13" spans="1:14" ht="25.5" customHeight="1" x14ac:dyDescent="0.3">
      <c r="A13" s="169"/>
      <c r="B13" s="95"/>
      <c r="C13" s="96"/>
      <c r="D13" s="97"/>
      <c r="E13" s="97"/>
      <c r="F13" s="98"/>
      <c r="G13" s="98"/>
      <c r="H13" s="99"/>
      <c r="I13" s="99"/>
      <c r="J13" s="100"/>
    </row>
    <row r="14" spans="1:14" ht="25.5" customHeight="1" x14ac:dyDescent="0.35">
      <c r="A14" s="183" t="s">
        <v>391</v>
      </c>
      <c r="B14" s="185"/>
      <c r="C14" s="185"/>
      <c r="D14" s="185"/>
      <c r="E14" s="185"/>
      <c r="F14" s="185"/>
      <c r="G14" s="185"/>
      <c r="H14" s="185"/>
      <c r="I14" s="185"/>
      <c r="J14" s="186"/>
    </row>
    <row r="15" spans="1:14" ht="41.4" x14ac:dyDescent="0.3">
      <c r="A15" s="6" t="s">
        <v>2</v>
      </c>
      <c r="B15" s="6" t="s">
        <v>3</v>
      </c>
      <c r="C15" s="4" t="s">
        <v>4</v>
      </c>
      <c r="D15" s="5" t="s">
        <v>5</v>
      </c>
      <c r="E15" s="6" t="s">
        <v>6</v>
      </c>
      <c r="F15" s="6" t="s">
        <v>205</v>
      </c>
      <c r="G15" s="6" t="s">
        <v>8</v>
      </c>
      <c r="H15" s="6" t="s">
        <v>9</v>
      </c>
      <c r="I15" s="4" t="s">
        <v>61</v>
      </c>
      <c r="J15" s="6" t="s">
        <v>10</v>
      </c>
    </row>
    <row r="16" spans="1:14" ht="36" customHeight="1" x14ac:dyDescent="0.3">
      <c r="A16" s="90" t="s">
        <v>11</v>
      </c>
      <c r="B16" s="90" t="s">
        <v>26</v>
      </c>
      <c r="C16" s="101" t="s">
        <v>237</v>
      </c>
      <c r="D16" s="102">
        <v>45334</v>
      </c>
      <c r="E16" s="102">
        <v>46338</v>
      </c>
      <c r="F16" s="103">
        <v>100000</v>
      </c>
      <c r="G16" s="104">
        <v>121846</v>
      </c>
      <c r="H16" s="168" t="s">
        <v>243</v>
      </c>
      <c r="I16" s="168" t="s">
        <v>71</v>
      </c>
      <c r="J16" s="177" t="s">
        <v>397</v>
      </c>
    </row>
    <row r="17" spans="1:10" ht="36" customHeight="1" x14ac:dyDescent="0.3">
      <c r="A17" s="90" t="s">
        <v>14</v>
      </c>
      <c r="B17" s="90" t="s">
        <v>15</v>
      </c>
      <c r="C17" s="101" t="s">
        <v>238</v>
      </c>
      <c r="D17" s="102">
        <v>45334</v>
      </c>
      <c r="E17" s="102">
        <v>46338</v>
      </c>
      <c r="F17" s="103">
        <v>100000</v>
      </c>
      <c r="G17" s="104">
        <v>121846</v>
      </c>
      <c r="H17" s="168" t="s">
        <v>243</v>
      </c>
      <c r="I17" s="168" t="s">
        <v>71</v>
      </c>
      <c r="J17" s="178"/>
    </row>
    <row r="18" spans="1:10" ht="36" customHeight="1" x14ac:dyDescent="0.3">
      <c r="A18" s="90" t="s">
        <v>17</v>
      </c>
      <c r="B18" s="90" t="s">
        <v>15</v>
      </c>
      <c r="C18" s="101" t="s">
        <v>239</v>
      </c>
      <c r="D18" s="102">
        <v>45334</v>
      </c>
      <c r="E18" s="102">
        <v>46338</v>
      </c>
      <c r="F18" s="103">
        <v>100000</v>
      </c>
      <c r="G18" s="104">
        <v>121846</v>
      </c>
      <c r="H18" s="168" t="s">
        <v>243</v>
      </c>
      <c r="I18" s="168" t="s">
        <v>71</v>
      </c>
      <c r="J18" s="178"/>
    </row>
    <row r="19" spans="1:10" ht="36" customHeight="1" x14ac:dyDescent="0.3">
      <c r="A19" s="90" t="s">
        <v>19</v>
      </c>
      <c r="B19" s="90" t="s">
        <v>15</v>
      </c>
      <c r="C19" s="101" t="s">
        <v>240</v>
      </c>
      <c r="D19" s="102">
        <v>45334</v>
      </c>
      <c r="E19" s="102">
        <v>46338</v>
      </c>
      <c r="F19" s="103">
        <v>100000</v>
      </c>
      <c r="G19" s="104">
        <v>121846</v>
      </c>
      <c r="H19" s="168" t="s">
        <v>243</v>
      </c>
      <c r="I19" s="168" t="s">
        <v>71</v>
      </c>
      <c r="J19" s="178"/>
    </row>
    <row r="20" spans="1:10" ht="36" customHeight="1" x14ac:dyDescent="0.3">
      <c r="A20" s="90" t="s">
        <v>21</v>
      </c>
      <c r="B20" s="90" t="s">
        <v>15</v>
      </c>
      <c r="C20" s="101" t="s">
        <v>241</v>
      </c>
      <c r="D20" s="102">
        <v>45334</v>
      </c>
      <c r="E20" s="102">
        <v>46338</v>
      </c>
      <c r="F20" s="103">
        <v>100000</v>
      </c>
      <c r="G20" s="104">
        <v>121846</v>
      </c>
      <c r="H20" s="168" t="s">
        <v>243</v>
      </c>
      <c r="I20" s="168" t="s">
        <v>71</v>
      </c>
      <c r="J20" s="178"/>
    </row>
    <row r="21" spans="1:10" ht="36" customHeight="1" x14ac:dyDescent="0.3">
      <c r="A21" s="90" t="s">
        <v>23</v>
      </c>
      <c r="B21" s="90" t="s">
        <v>15</v>
      </c>
      <c r="C21" s="101" t="s">
        <v>242</v>
      </c>
      <c r="D21" s="92">
        <v>45369</v>
      </c>
      <c r="E21" s="92">
        <v>46374</v>
      </c>
      <c r="F21" s="103">
        <v>50000</v>
      </c>
      <c r="G21" s="104">
        <v>60923</v>
      </c>
      <c r="H21" s="168" t="s">
        <v>243</v>
      </c>
      <c r="I21" s="168" t="s">
        <v>71</v>
      </c>
      <c r="J21" s="179"/>
    </row>
    <row r="22" spans="1:10" ht="36" customHeight="1" x14ac:dyDescent="0.3">
      <c r="A22" s="90" t="s">
        <v>25</v>
      </c>
      <c r="B22" s="90" t="s">
        <v>15</v>
      </c>
      <c r="C22" s="101" t="s">
        <v>401</v>
      </c>
      <c r="D22" s="92">
        <v>46011</v>
      </c>
      <c r="E22" s="102">
        <v>47107</v>
      </c>
      <c r="F22" s="103">
        <v>30000</v>
      </c>
      <c r="G22" s="103">
        <v>36134</v>
      </c>
      <c r="H22" s="168" t="s">
        <v>89</v>
      </c>
      <c r="I22" s="168" t="s">
        <v>146</v>
      </c>
      <c r="J22" s="12" t="s">
        <v>409</v>
      </c>
    </row>
    <row r="23" spans="1:10" ht="36" customHeight="1" x14ac:dyDescent="0.3">
      <c r="A23" s="90" t="s">
        <v>29</v>
      </c>
      <c r="B23" s="90" t="s">
        <v>15</v>
      </c>
      <c r="C23" s="101" t="s">
        <v>406</v>
      </c>
      <c r="D23" s="92">
        <v>46111</v>
      </c>
      <c r="E23" s="102">
        <v>46842</v>
      </c>
      <c r="F23" s="103">
        <v>28224</v>
      </c>
      <c r="G23" s="103">
        <v>31794</v>
      </c>
      <c r="H23" s="168" t="s">
        <v>95</v>
      </c>
      <c r="I23" s="168" t="s">
        <v>146</v>
      </c>
      <c r="J23" s="12" t="s">
        <v>407</v>
      </c>
    </row>
  </sheetData>
  <mergeCells count="6">
    <mergeCell ref="J16:J21"/>
    <mergeCell ref="A1:J1"/>
    <mergeCell ref="A2:J2"/>
    <mergeCell ref="A4:J4"/>
    <mergeCell ref="A11:J11"/>
    <mergeCell ref="A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Sheet10!Print_Area</vt:lpstr>
      <vt:lpstr>Sheet5!Print_Area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Shubham Kharat</cp:lastModifiedBy>
  <cp:lastPrinted>2025-08-19T13:13:24Z</cp:lastPrinted>
  <dcterms:created xsi:type="dcterms:W3CDTF">2016-04-15T07:43:40Z</dcterms:created>
  <dcterms:modified xsi:type="dcterms:W3CDTF">2026-04-23T14:34:16Z</dcterms:modified>
</cp:coreProperties>
</file>