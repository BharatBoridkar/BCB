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BHARAT\2025-2026\BCB\AMS\002-Park-Rose\"/>
    </mc:Choice>
  </mc:AlternateContent>
  <xr:revisionPtr revIDLastSave="0" documentId="13_ncr:1_{E596D5EC-A375-4AD3-9F78-784BA6EFA757}" xr6:coauthVersionLast="47" xr6:coauthVersionMax="47" xr10:uidLastSave="{00000000-0000-0000-0000-000000000000}"/>
  <bookViews>
    <workbookView xWindow="-108" yWindow="-108" windowWidth="23256" windowHeight="12456" tabRatio="783" activeTab="4" xr2:uid="{00000000-000D-0000-FFFF-FFFF00000000}"/>
  </bookViews>
  <sheets>
    <sheet name="BS" sheetId="1" r:id="rId1"/>
    <sheet name="IE" sheetId="2" r:id="rId2"/>
    <sheet name="Sch I - FD" sheetId="3" r:id="rId3"/>
    <sheet name="Sch II to IV - Vendors &amp; Mem." sheetId="10" r:id="rId4"/>
    <sheet name="BRS" sheetId="7" r:id="rId5"/>
    <sheet name="Workings" sheetId="8" r:id="rId6"/>
    <sheet name="Interest on FD" sheetId="13" r:id="rId7"/>
    <sheet name="Sch I - FD (2)" sheetId="14" r:id="rId8"/>
  </sheets>
  <definedNames>
    <definedName name="_xlnm._FilterDatabase" localSheetId="6" hidden="1">'Interest on FD'!$A$2:$F$36</definedName>
    <definedName name="_xlcn.WorksheetConnection_InterestonFDA2F37" hidden="1">'Interest on FD'!$A$2:$F$36</definedName>
    <definedName name="_xlnm.Print_Area" localSheetId="0">BS!$A$1:$H$58</definedName>
    <definedName name="_xlnm.Print_Area" localSheetId="1">IE!$A$1:$H$62</definedName>
    <definedName name="_xlnm.Print_Area" localSheetId="2">'Sch I - FD'!$A$1:$L$42</definedName>
    <definedName name="_xlnm.Print_Area" localSheetId="7">'Sch I - FD (2)'!$A$1:$L$28</definedName>
    <definedName name="_xlnm.Print_Area" localSheetId="3">'Sch II to IV - Vendors &amp; Mem.'!$A$1:$D$45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Interest on FD!$A$2:$F$3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7" i="14" l="1"/>
  <c r="K27" i="14"/>
  <c r="H27" i="14"/>
  <c r="G27" i="14"/>
  <c r="F27" i="14"/>
  <c r="L21" i="14"/>
  <c r="K21" i="14"/>
  <c r="G21" i="14"/>
  <c r="H20" i="14"/>
  <c r="I20" i="14" s="1"/>
  <c r="I26" i="14"/>
  <c r="J26" i="14" s="1"/>
  <c r="I25" i="14"/>
  <c r="J25" i="14" s="1"/>
  <c r="H19" i="14"/>
  <c r="I19" i="14" s="1"/>
  <c r="J19" i="14" s="1"/>
  <c r="H18" i="14"/>
  <c r="H17" i="14"/>
  <c r="I17" i="14" s="1"/>
  <c r="J17" i="14" s="1"/>
  <c r="H16" i="14"/>
  <c r="I16" i="14" s="1"/>
  <c r="J16" i="14" s="1"/>
  <c r="H15" i="14"/>
  <c r="I15" i="14" s="1"/>
  <c r="J15" i="14" s="1"/>
  <c r="H14" i="14"/>
  <c r="I14" i="14" s="1"/>
  <c r="I24" i="14"/>
  <c r="I23" i="14"/>
  <c r="J23" i="14" s="1"/>
  <c r="H13" i="14"/>
  <c r="I13" i="14" s="1"/>
  <c r="J13" i="14" s="1"/>
  <c r="H12" i="14"/>
  <c r="G12" i="14"/>
  <c r="H11" i="14"/>
  <c r="I11" i="14" s="1"/>
  <c r="F11" i="14"/>
  <c r="F21" i="14" s="1"/>
  <c r="H10" i="14"/>
  <c r="I10" i="14" s="1"/>
  <c r="I22" i="14"/>
  <c r="J22" i="14" s="1"/>
  <c r="H9" i="14"/>
  <c r="I9" i="14" s="1"/>
  <c r="J9" i="14" s="1"/>
  <c r="H8" i="14"/>
  <c r="I8" i="14" s="1"/>
  <c r="J8" i="14" s="1"/>
  <c r="H7" i="14"/>
  <c r="I7" i="14" s="1"/>
  <c r="I6" i="14"/>
  <c r="J6" i="14" s="1"/>
  <c r="H21" i="14" l="1"/>
  <c r="I27" i="14"/>
  <c r="J11" i="14"/>
  <c r="J7" i="14"/>
  <c r="J10" i="14"/>
  <c r="I12" i="14"/>
  <c r="J12" i="14" s="1"/>
  <c r="J24" i="14"/>
  <c r="J27" i="14" s="1"/>
  <c r="J14" i="14"/>
  <c r="I18" i="14"/>
  <c r="J20" i="14"/>
  <c r="E55" i="2"/>
  <c r="I21" i="14" l="1"/>
  <c r="J21" i="14"/>
  <c r="J18" i="14"/>
  <c r="G22" i="1"/>
  <c r="G21" i="1"/>
  <c r="A24" i="2"/>
  <c r="G40" i="1"/>
  <c r="H40" i="1" s="1"/>
  <c r="C19" i="2"/>
  <c r="C20" i="2"/>
  <c r="C29" i="2" l="1"/>
  <c r="D17" i="10"/>
  <c r="D18" i="10"/>
  <c r="C17" i="2"/>
  <c r="C28" i="2"/>
  <c r="D30" i="10"/>
  <c r="D43" i="1" s="1"/>
  <c r="C46" i="2"/>
  <c r="C10" i="2"/>
  <c r="D9" i="10"/>
  <c r="D11" i="10" s="1"/>
  <c r="C37" i="1" s="1"/>
  <c r="G29" i="2"/>
  <c r="G28" i="2"/>
  <c r="C29" i="1" s="1"/>
  <c r="G27" i="2"/>
  <c r="C34" i="1" s="1"/>
  <c r="G26" i="2"/>
  <c r="C25" i="1" s="1"/>
  <c r="G25" i="2"/>
  <c r="C21" i="1" s="1"/>
  <c r="I34" i="3"/>
  <c r="J34" i="3" s="1"/>
  <c r="I35" i="3"/>
  <c r="J35" i="3" s="1"/>
  <c r="H33" i="3"/>
  <c r="I33" i="3" s="1"/>
  <c r="J33" i="3" s="1"/>
  <c r="I23" i="3"/>
  <c r="I20" i="3"/>
  <c r="I13" i="3"/>
  <c r="I7" i="3"/>
  <c r="L14" i="3"/>
  <c r="G14" i="3"/>
  <c r="L21" i="3"/>
  <c r="L30" i="3"/>
  <c r="G30" i="3"/>
  <c r="L36" i="3"/>
  <c r="G36" i="3"/>
  <c r="C47" i="2"/>
  <c r="C33" i="8"/>
  <c r="C21" i="8"/>
  <c r="D21" i="8" s="1"/>
  <c r="D22" i="8" s="1"/>
  <c r="C20" i="8"/>
  <c r="D38" i="8"/>
  <c r="C2" i="8"/>
  <c r="J20" i="3"/>
  <c r="F36" i="3"/>
  <c r="L24" i="3"/>
  <c r="G24" i="3"/>
  <c r="F24" i="3"/>
  <c r="H24" i="3"/>
  <c r="J23" i="3"/>
  <c r="J13" i="3"/>
  <c r="H19" i="3"/>
  <c r="H29" i="3"/>
  <c r="F30" i="3"/>
  <c r="H27" i="3"/>
  <c r="H32" i="3"/>
  <c r="I32" i="3" s="1"/>
  <c r="H16" i="3"/>
  <c r="I16" i="3" s="1"/>
  <c r="H38" i="3"/>
  <c r="H12" i="3"/>
  <c r="I12" i="3" s="1"/>
  <c r="V9" i="3"/>
  <c r="H18" i="3"/>
  <c r="H11" i="3"/>
  <c r="I11" i="3" s="1"/>
  <c r="H28" i="3"/>
  <c r="I28" i="3" s="1"/>
  <c r="W9" i="3"/>
  <c r="H26" i="3"/>
  <c r="I26" i="3" s="1"/>
  <c r="H10" i="3"/>
  <c r="I10" i="3" s="1"/>
  <c r="H17" i="3"/>
  <c r="I17" i="3" s="1"/>
  <c r="F17" i="3"/>
  <c r="F21" i="3" s="1"/>
  <c r="X16" i="3"/>
  <c r="C15" i="1"/>
  <c r="C31" i="1"/>
  <c r="C27" i="1"/>
  <c r="C23" i="1"/>
  <c r="C19" i="1"/>
  <c r="C39" i="8"/>
  <c r="C27" i="8"/>
  <c r="G24" i="2"/>
  <c r="G16" i="2"/>
  <c r="G13" i="2"/>
  <c r="G14" i="2"/>
  <c r="C3" i="8"/>
  <c r="A9" i="8"/>
  <c r="C9" i="8" s="1"/>
  <c r="A7" i="8"/>
  <c r="C7" i="8" s="1"/>
  <c r="A6" i="8"/>
  <c r="C6" i="8" s="1"/>
  <c r="A5" i="8"/>
  <c r="C5" i="8" s="1"/>
  <c r="C15" i="8"/>
  <c r="C14" i="8"/>
  <c r="C13" i="8"/>
  <c r="C19" i="8"/>
  <c r="J12" i="7"/>
  <c r="D10" i="7" s="1"/>
  <c r="K12" i="7"/>
  <c r="D8" i="7" s="1"/>
  <c r="C45" i="8"/>
  <c r="C44" i="8"/>
  <c r="C43" i="8"/>
  <c r="C26" i="8"/>
  <c r="C25" i="8"/>
  <c r="C38" i="8"/>
  <c r="C37" i="8"/>
  <c r="C32" i="8"/>
  <c r="C31" i="8"/>
  <c r="E49" i="1"/>
  <c r="C16" i="1"/>
  <c r="C46" i="1"/>
  <c r="G9" i="1"/>
  <c r="G10" i="1"/>
  <c r="L39" i="3"/>
  <c r="F39" i="3"/>
  <c r="B19" i="10"/>
  <c r="A40" i="1" s="1"/>
  <c r="A49" i="1" s="1"/>
  <c r="B44" i="10"/>
  <c r="K3" i="8"/>
  <c r="D20" i="7"/>
  <c r="D18" i="7"/>
  <c r="B11" i="10"/>
  <c r="D14" i="10"/>
  <c r="B14" i="10"/>
  <c r="G36" i="1"/>
  <c r="H36" i="1" s="1"/>
  <c r="G32" i="1"/>
  <c r="G28" i="1"/>
  <c r="H28" i="1" s="1"/>
  <c r="R32" i="3"/>
  <c r="S32" i="3" s="1"/>
  <c r="S36" i="3" s="1"/>
  <c r="R16" i="3"/>
  <c r="S16" i="3" s="1"/>
  <c r="S17" i="3" s="1"/>
  <c r="Q7" i="3"/>
  <c r="P7" i="3"/>
  <c r="Q28" i="3"/>
  <c r="P28" i="3"/>
  <c r="R10" i="3"/>
  <c r="S10" i="3" s="1"/>
  <c r="G18" i="3"/>
  <c r="I18" i="3" s="1"/>
  <c r="H20" i="2"/>
  <c r="G11" i="2"/>
  <c r="G12" i="2"/>
  <c r="G10" i="2"/>
  <c r="C9" i="2"/>
  <c r="D40" i="10" l="1"/>
  <c r="I36" i="3"/>
  <c r="C22" i="8"/>
  <c r="I14" i="3"/>
  <c r="D21" i="1"/>
  <c r="C34" i="2"/>
  <c r="H29" i="2"/>
  <c r="H30" i="3"/>
  <c r="G21" i="3"/>
  <c r="H14" i="3"/>
  <c r="J16" i="3"/>
  <c r="H36" i="3"/>
  <c r="H21" i="3"/>
  <c r="I19" i="3"/>
  <c r="I21" i="3" s="1"/>
  <c r="I27" i="3"/>
  <c r="I29" i="3"/>
  <c r="J29" i="3" s="1"/>
  <c r="J28" i="3"/>
  <c r="H17" i="2"/>
  <c r="D25" i="1"/>
  <c r="C34" i="8"/>
  <c r="C28" i="8"/>
  <c r="C40" i="8"/>
  <c r="C46" i="8"/>
  <c r="C47" i="8" s="1"/>
  <c r="I24" i="3"/>
  <c r="J24" i="3"/>
  <c r="J17" i="3"/>
  <c r="I38" i="3"/>
  <c r="H39" i="3"/>
  <c r="J32" i="3"/>
  <c r="J36" i="3" s="1"/>
  <c r="X9" i="3"/>
  <c r="J10" i="3"/>
  <c r="H8" i="3"/>
  <c r="X24" i="3"/>
  <c r="G8" i="3"/>
  <c r="C4" i="8"/>
  <c r="C8" i="8" s="1"/>
  <c r="C10" i="8" s="1"/>
  <c r="D27" i="8"/>
  <c r="D3" i="8"/>
  <c r="C16" i="8"/>
  <c r="D45" i="8"/>
  <c r="D42" i="10" s="1"/>
  <c r="D39" i="8"/>
  <c r="D43" i="10" s="1"/>
  <c r="G39" i="3"/>
  <c r="R7" i="3"/>
  <c r="S7" i="3" s="1"/>
  <c r="H32" i="1"/>
  <c r="T24" i="3"/>
  <c r="S24" i="3"/>
  <c r="R28" i="3"/>
  <c r="S28" i="3" s="1"/>
  <c r="S30" i="3" s="1"/>
  <c r="T32" i="3"/>
  <c r="T36" i="3" s="1"/>
  <c r="T16" i="3"/>
  <c r="T17" i="3" s="1"/>
  <c r="S11" i="3"/>
  <c r="T10" i="3"/>
  <c r="T11" i="3" s="1"/>
  <c r="D33" i="8"/>
  <c r="D15" i="8"/>
  <c r="D41" i="10" s="1"/>
  <c r="D28" i="8" l="1"/>
  <c r="D39" i="10"/>
  <c r="D38" i="10"/>
  <c r="D34" i="8"/>
  <c r="I30" i="3"/>
  <c r="J27" i="3"/>
  <c r="J19" i="3"/>
  <c r="J26" i="3"/>
  <c r="J30" i="3" s="1"/>
  <c r="D40" i="8"/>
  <c r="C24" i="2" s="1"/>
  <c r="D46" i="8"/>
  <c r="D47" i="8" s="1"/>
  <c r="C12" i="2" s="1"/>
  <c r="D16" i="8"/>
  <c r="J18" i="3"/>
  <c r="T7" i="3"/>
  <c r="T8" i="3" s="1"/>
  <c r="S8" i="3"/>
  <c r="J38" i="3"/>
  <c r="J39" i="3" s="1"/>
  <c r="I39" i="3"/>
  <c r="J11" i="3"/>
  <c r="J12" i="3"/>
  <c r="I8" i="3"/>
  <c r="J7" i="3"/>
  <c r="D4" i="8"/>
  <c r="C25" i="2"/>
  <c r="C23" i="2"/>
  <c r="C26" i="2"/>
  <c r="T28" i="3"/>
  <c r="T30" i="3" s="1"/>
  <c r="J21" i="3" l="1"/>
  <c r="J14" i="3"/>
  <c r="D26" i="2"/>
  <c r="D8" i="8"/>
  <c r="D9" i="8" s="1"/>
  <c r="D44" i="10"/>
  <c r="L8" i="3"/>
  <c r="D10" i="8" l="1"/>
  <c r="C11" i="2" s="1"/>
  <c r="D16" i="10"/>
  <c r="G20" i="1" l="1"/>
  <c r="H23" i="1" s="1"/>
  <c r="H10" i="1"/>
  <c r="E51" i="1"/>
  <c r="D34" i="1"/>
  <c r="D29" i="1"/>
  <c r="D19" i="10" l="1"/>
  <c r="C40" i="1" s="1"/>
  <c r="D48" i="2"/>
  <c r="E53" i="2"/>
  <c r="F8" i="3"/>
  <c r="J8" i="3"/>
  <c r="D40" i="1" l="1"/>
  <c r="A53" i="2"/>
  <c r="D32" i="2"/>
  <c r="D12" i="2" l="1"/>
  <c r="H32" i="2"/>
  <c r="A6" i="2"/>
  <c r="H6" i="1" l="1"/>
  <c r="D6" i="2"/>
  <c r="E6" i="2"/>
  <c r="H53" i="2" l="1"/>
  <c r="H6" i="2"/>
  <c r="E6" i="1"/>
  <c r="D23" i="7"/>
  <c r="D50" i="2" l="1"/>
  <c r="C17" i="1" s="1"/>
  <c r="D12" i="7"/>
  <c r="D51" i="2" l="1"/>
  <c r="C47" i="1" s="1"/>
  <c r="D47" i="1" s="1"/>
  <c r="D17" i="1"/>
  <c r="D53" i="2" l="1"/>
  <c r="D49" i="1" l="1"/>
  <c r="A50" i="1" l="1"/>
  <c r="H41" i="3"/>
  <c r="I41" i="3"/>
  <c r="G15" i="1" s="1"/>
  <c r="J41" i="3"/>
  <c r="F14" i="3"/>
  <c r="F41" i="3" s="1"/>
  <c r="G14" i="1" s="1"/>
  <c r="G41" i="3"/>
  <c r="L41" i="3"/>
  <c r="H15" i="1" l="1"/>
  <c r="H49" i="1" s="1"/>
  <c r="H5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nterest on FD!$A$2:$F$37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terestonFDA2F37"/>
        </x15:connection>
      </ext>
    </extLst>
  </connection>
</connections>
</file>

<file path=xl/sharedStrings.xml><?xml version="1.0" encoding="utf-8"?>
<sst xmlns="http://schemas.openxmlformats.org/spreadsheetml/2006/main" count="660" uniqueCount="377">
  <si>
    <t>LIABILITIES</t>
  </si>
  <si>
    <t>ASSETS</t>
  </si>
  <si>
    <t>Certificate No.</t>
  </si>
  <si>
    <t>Date of Issue</t>
  </si>
  <si>
    <t>Amount Deposited</t>
  </si>
  <si>
    <t>Bank</t>
  </si>
  <si>
    <t>Maturity Date</t>
  </si>
  <si>
    <t>Authorised Share Capital</t>
  </si>
  <si>
    <t>Maturity Value</t>
  </si>
  <si>
    <t>Int</t>
  </si>
  <si>
    <t>Total Amt</t>
  </si>
  <si>
    <t>Audit Fees</t>
  </si>
  <si>
    <t>Accounting Charges</t>
  </si>
  <si>
    <t>As per last balance sheet</t>
  </si>
  <si>
    <t>Add: Interest earned during the year</t>
  </si>
  <si>
    <t xml:space="preserve">Total </t>
  </si>
  <si>
    <t>Current Liabilities and Provisions:</t>
  </si>
  <si>
    <t>Income and Expenditure Account:</t>
  </si>
  <si>
    <t>Model Co-op Bank</t>
  </si>
  <si>
    <t>Share with MDCC Bank</t>
  </si>
  <si>
    <t>Other Current Assets:</t>
  </si>
  <si>
    <t>EXPENDITURE</t>
  </si>
  <si>
    <t>INCOME</t>
  </si>
  <si>
    <t>Sr.</t>
  </si>
  <si>
    <t>Amount</t>
  </si>
  <si>
    <t>Bank balance as per system (Book Balance)</t>
  </si>
  <si>
    <t>Bank balance as per Passbook</t>
  </si>
  <si>
    <t>Add:</t>
  </si>
  <si>
    <t>PARK ROSE CO-OPERATIVE HOUSING SOCIETY LTD</t>
  </si>
  <si>
    <t>Audit Fee Payable</t>
  </si>
  <si>
    <t>Citizencredit Co-op Bank</t>
  </si>
  <si>
    <t>By Other Incomes</t>
  </si>
  <si>
    <t>To Administrative Expenses:</t>
  </si>
  <si>
    <t>Salaries Expense</t>
  </si>
  <si>
    <t>Less: trf to Sinking Fund</t>
  </si>
  <si>
    <t>Less: trf to Repair Fund</t>
  </si>
  <si>
    <t>Bank Charges</t>
  </si>
  <si>
    <t>Conveyance Expense</t>
  </si>
  <si>
    <t>PARK ROSE CO-OPERATIVE HOUSING SOCIETY LTD.</t>
  </si>
  <si>
    <t>( Regd No : BOM/W-P/HSG/TC/4208/1974 DT. 11.06.1974 )</t>
  </si>
  <si>
    <t>DOMINIC COLONY ROAD NO. 2, ORLEM, MALAD (WEST), MUMBAI - 400064</t>
  </si>
  <si>
    <t>(Amt. in Rs.)</t>
  </si>
  <si>
    <t>Issues, Subscribed and Paid Up Share Capital</t>
  </si>
  <si>
    <t>Cash and Bank Balances:</t>
  </si>
  <si>
    <t>Balance as per last year</t>
  </si>
  <si>
    <t>Reserves and other Funds:</t>
  </si>
  <si>
    <t>Security Deposit with Adani Energy</t>
  </si>
  <si>
    <t>(i) General Reserve Fund</t>
  </si>
  <si>
    <t>( 2,000 Share of ₹ 50/- each )</t>
  </si>
  <si>
    <t>Parking Charges</t>
  </si>
  <si>
    <t>Electricity Charges</t>
  </si>
  <si>
    <t>Water Charges</t>
  </si>
  <si>
    <t>Service Charges</t>
  </si>
  <si>
    <t>Non Occupancy Charges</t>
  </si>
  <si>
    <t>Insurance Charges</t>
  </si>
  <si>
    <t>Other charges</t>
  </si>
  <si>
    <t>Late Payment Interest</t>
  </si>
  <si>
    <t>Misc. Incomes</t>
  </si>
  <si>
    <t>Interest - Savings Deposits</t>
  </si>
  <si>
    <t>Interest - Fixed Deposits</t>
  </si>
  <si>
    <t>To Excess of Income over Expenditure c/d</t>
  </si>
  <si>
    <t>To Property Related Expenses:</t>
  </si>
  <si>
    <t>Electricity Expenses</t>
  </si>
  <si>
    <t>Water Expenses</t>
  </si>
  <si>
    <t>Insurance Expense</t>
  </si>
  <si>
    <t>To Repairs &amp; Maintenance:</t>
  </si>
  <si>
    <t>Water Tank Cleaning Expenses</t>
  </si>
  <si>
    <t>R&amp;M - Lifts</t>
  </si>
  <si>
    <t>R&amp;M - Electrical</t>
  </si>
  <si>
    <t>R&amp;M - Others</t>
  </si>
  <si>
    <t>R&amp;M - Plumbing</t>
  </si>
  <si>
    <t>AMC - Lift</t>
  </si>
  <si>
    <t>AMC - Stack Parking</t>
  </si>
  <si>
    <t>1. Water expenses provisions</t>
  </si>
  <si>
    <t>To Service Charges:</t>
  </si>
  <si>
    <t>Security Expenses</t>
  </si>
  <si>
    <t>Housekeeping Expenses</t>
  </si>
  <si>
    <t>Office Expenses</t>
  </si>
  <si>
    <t>Housekeeping Materials</t>
  </si>
  <si>
    <t>Stack-Parking Staff Salary</t>
  </si>
  <si>
    <t>Printing and Stationery</t>
  </si>
  <si>
    <t>Federation Subscription</t>
  </si>
  <si>
    <t>Meeting Expense</t>
  </si>
  <si>
    <t>Miscellaneous Expenses</t>
  </si>
  <si>
    <t>Pest Control Expenses</t>
  </si>
  <si>
    <t>Share Capital FD</t>
  </si>
  <si>
    <t>Citizen</t>
  </si>
  <si>
    <t>Sinking Fund FD</t>
  </si>
  <si>
    <t>Repair Fund FD</t>
  </si>
  <si>
    <t>Education Fund FD</t>
  </si>
  <si>
    <t>Lift Repair Fund FD</t>
  </si>
  <si>
    <t>Reserve Fund FD</t>
  </si>
  <si>
    <t>Total</t>
  </si>
  <si>
    <t>ALM Expenses</t>
  </si>
  <si>
    <t>Depreciation</t>
  </si>
  <si>
    <t>To 25% Surplus carried to Reserve Fund</t>
  </si>
  <si>
    <t>Add: Member's contribution for the year</t>
  </si>
  <si>
    <t>(iv) Lift Repair Fund</t>
  </si>
  <si>
    <t>(ii) Sinking Fund</t>
  </si>
  <si>
    <t>(iii) Repair Fund</t>
  </si>
  <si>
    <t>(v) Education Fund</t>
  </si>
  <si>
    <t>Less: trf to Education Fund</t>
  </si>
  <si>
    <t>Less: trf to Lift Repair Fund</t>
  </si>
  <si>
    <t>Less: trf to Reserve Fund</t>
  </si>
  <si>
    <t>TDS Payable</t>
  </si>
  <si>
    <t>Vendor Payables - Sch II</t>
  </si>
  <si>
    <t>Provisions - Sch II</t>
  </si>
  <si>
    <t>Schedule II</t>
  </si>
  <si>
    <t>Sr</t>
  </si>
  <si>
    <t>Vendor Name</t>
  </si>
  <si>
    <t>Irene Rosario</t>
  </si>
  <si>
    <t>Expense Heads</t>
  </si>
  <si>
    <t>Water Charges Payable</t>
  </si>
  <si>
    <t>Member Payables:</t>
  </si>
  <si>
    <t>Advance from Members - Sch III</t>
  </si>
  <si>
    <t>Schedule III</t>
  </si>
  <si>
    <t>MRS. ANNA PEREIRA</t>
  </si>
  <si>
    <t>Flat</t>
  </si>
  <si>
    <t>Member's Name</t>
  </si>
  <si>
    <t>Member's Receivables - Sch III</t>
  </si>
  <si>
    <t>Fixed Deposits - Sch I</t>
  </si>
  <si>
    <t>Schedule IV</t>
  </si>
  <si>
    <t>Expense Head</t>
  </si>
  <si>
    <t>Period</t>
  </si>
  <si>
    <t>Pest Control</t>
  </si>
  <si>
    <t>Stack-Parking AMC</t>
  </si>
  <si>
    <t>Fire-Fighting AMC</t>
  </si>
  <si>
    <t>Intercom AMC</t>
  </si>
  <si>
    <t>Lift AMC</t>
  </si>
  <si>
    <t>Insurance Premium</t>
  </si>
  <si>
    <t>CCTV AMC</t>
  </si>
  <si>
    <t>Fixed Assets:</t>
  </si>
  <si>
    <t>Add: Purchases during the year</t>
  </si>
  <si>
    <t>Less: Depreciation @ 15%</t>
  </si>
  <si>
    <t>Chequed issued and presented but not cleared</t>
  </si>
  <si>
    <t>Debit</t>
  </si>
  <si>
    <t>Credit</t>
  </si>
  <si>
    <t>Anshuman Security Services</t>
  </si>
  <si>
    <t>Posted Date</t>
  </si>
  <si>
    <t>Reconciled Date</t>
  </si>
  <si>
    <t>Property Taxes - Parking</t>
  </si>
  <si>
    <t>Property Taxes - Common Area</t>
  </si>
  <si>
    <t>Property Tax Parking</t>
  </si>
  <si>
    <t>Property Tax Common Area</t>
  </si>
  <si>
    <t>Adani Electrcity</t>
  </si>
  <si>
    <t>Festival Expenses</t>
  </si>
  <si>
    <t>Less:</t>
  </si>
  <si>
    <t>01.12.2025</t>
  </si>
  <si>
    <t>Less: Depreciation @ 10%</t>
  </si>
  <si>
    <t>March 31, 2025</t>
  </si>
  <si>
    <t>Provision</t>
  </si>
  <si>
    <t>2. Lift AMC</t>
  </si>
  <si>
    <t>Prepaid</t>
  </si>
  <si>
    <t>3. Intercom AMC</t>
  </si>
  <si>
    <t>4. Fire Fighting AMC</t>
  </si>
  <si>
    <t>5. Stack Parking AMC</t>
  </si>
  <si>
    <t>6. CCTV AMC</t>
  </si>
  <si>
    <t>7. Insurance Expenses</t>
  </si>
  <si>
    <t>Election Charges</t>
  </si>
  <si>
    <t>Shifting Charge</t>
  </si>
  <si>
    <t>Accrued Int for FY 24-25</t>
  </si>
  <si>
    <t>27.11.2024</t>
  </si>
  <si>
    <t>101043101003739/1</t>
  </si>
  <si>
    <t>MRS. RUMY BAVL</t>
  </si>
  <si>
    <t>FY 2024-25</t>
  </si>
  <si>
    <t>Cheques deposited but not cleared</t>
  </si>
  <si>
    <t>Cheques issued but not cleared</t>
  </si>
  <si>
    <t>Asha - Housekeeping</t>
  </si>
  <si>
    <t>R&amp;M - Garden</t>
  </si>
  <si>
    <t>07.03.2025 to 05.06.2025</t>
  </si>
  <si>
    <t>07.03.2025 to 31.03.2025</t>
  </si>
  <si>
    <t>R&amp;M - Fire Fighting</t>
  </si>
  <si>
    <t>AMC - Fire Fighting Sytem</t>
  </si>
  <si>
    <t>Security Deposit FD</t>
  </si>
  <si>
    <t>28.03.2026</t>
  </si>
  <si>
    <t>21.03.2026</t>
  </si>
  <si>
    <t>07.11.2025</t>
  </si>
  <si>
    <t>27.01.2026</t>
  </si>
  <si>
    <t>27.10.2027</t>
  </si>
  <si>
    <t>04.07.2025</t>
  </si>
  <si>
    <t>12.12.2025</t>
  </si>
  <si>
    <t>18.01.2026</t>
  </si>
  <si>
    <t>06.08.2025</t>
  </si>
  <si>
    <t>Refundable Deposit - Flat No. 704</t>
  </si>
  <si>
    <t>By Maintenance Incomes :</t>
  </si>
  <si>
    <t>By Interest Incomes :</t>
  </si>
  <si>
    <t>By Other Incomes from Members:</t>
  </si>
  <si>
    <t xml:space="preserve"> ( 340 Shares of ₹ 50/- each )</t>
  </si>
  <si>
    <t xml:space="preserve"> (i) CCTV Monitor:</t>
  </si>
  <si>
    <t xml:space="preserve"> (ii) Terrace Fencing Cost:</t>
  </si>
  <si>
    <t xml:space="preserve"> (iii)Furniture &amp; Fixtures</t>
  </si>
  <si>
    <t>Accrued Interest on FDRs with Bank</t>
  </si>
  <si>
    <t>Cash Balance</t>
  </si>
  <si>
    <t>As per my report of even date</t>
  </si>
  <si>
    <t>Secretary                                 Chairman                                Treasurer</t>
  </si>
  <si>
    <t>Prepaid Expenses - Sch IV</t>
  </si>
  <si>
    <t>March 31, 2026</t>
  </si>
  <si>
    <t>FY 2025-26</t>
  </si>
  <si>
    <t>Vendor Payables as of 31st March 2026</t>
  </si>
  <si>
    <t>Provisions as of 31st March 2026</t>
  </si>
  <si>
    <t>Member's Advance Maintenance as of 31st March 2026</t>
  </si>
  <si>
    <t>Prepaid Expenses as of 31st March 2026</t>
  </si>
  <si>
    <t>Citizencredit Bank Reconciliation Statement as on 31st March 2026</t>
  </si>
  <si>
    <t>Schedule I : Details of Fixed Deposits as at March 31, 2026</t>
  </si>
  <si>
    <t>Angad Singh</t>
  </si>
  <si>
    <t>MR. SHELDON JUDE FERNS &amp; MRS. CHANTELLE OLIVE FERNS</t>
  </si>
  <si>
    <t>MR.ALLEN DSOUZA &amp; MRS. OLIVA D''SOUZA</t>
  </si>
  <si>
    <t>Model Bank Reconciliation Statement as on 31st March 2026</t>
  </si>
  <si>
    <t>Sr. No.</t>
  </si>
  <si>
    <t>Instr No</t>
  </si>
  <si>
    <t>Abhay Rai</t>
  </si>
  <si>
    <t>Gulam Kadir</t>
  </si>
  <si>
    <t xml:space="preserve">Society123 Support Services Pvt Ltd </t>
  </si>
  <si>
    <t>Manager</t>
  </si>
  <si>
    <t>Ivan Rosario</t>
  </si>
  <si>
    <t>Unassigned</t>
  </si>
  <si>
    <t>Accrued Int for FY 25-26</t>
  </si>
  <si>
    <t>101043101004292/2</t>
  </si>
  <si>
    <t>21.03.2027</t>
  </si>
  <si>
    <t>Accru.</t>
  </si>
  <si>
    <t xml:space="preserve">Total Accrued Int </t>
  </si>
  <si>
    <t>101043101002793/1</t>
  </si>
  <si>
    <t>1010431002233</t>
  </si>
  <si>
    <t>24.03.2026</t>
  </si>
  <si>
    <t>24.03.2027</t>
  </si>
  <si>
    <t>101043101002934/2</t>
  </si>
  <si>
    <t>12.12.2026</t>
  </si>
  <si>
    <t>101043101002923/2</t>
  </si>
  <si>
    <t>18.01.2027</t>
  </si>
  <si>
    <t>101043101003729/2</t>
  </si>
  <si>
    <t>06.08.2026</t>
  </si>
  <si>
    <t>101043031003664/1</t>
  </si>
  <si>
    <t>04.07.2026</t>
  </si>
  <si>
    <t>101043031004566/1</t>
  </si>
  <si>
    <t>07.11.2026</t>
  </si>
  <si>
    <t>101043101004522/2</t>
  </si>
  <si>
    <t>28.03.2027</t>
  </si>
  <si>
    <t>Extra</t>
  </si>
  <si>
    <t>16.09.2025</t>
  </si>
  <si>
    <t>16.09.2026</t>
  </si>
  <si>
    <t>10143031003865/1</t>
  </si>
  <si>
    <t>13.01.2026</t>
  </si>
  <si>
    <t>13.01.2027</t>
  </si>
  <si>
    <t>101043031005079/1</t>
  </si>
  <si>
    <t>Model</t>
  </si>
  <si>
    <t>10.09.2025</t>
  </si>
  <si>
    <t>10.09.2026</t>
  </si>
  <si>
    <t>23.03.2026</t>
  </si>
  <si>
    <t>23.03.2027</t>
  </si>
  <si>
    <t>25.02.2026</t>
  </si>
  <si>
    <t>25.02.2027</t>
  </si>
  <si>
    <t>08.07.2025</t>
  </si>
  <si>
    <t>08.07.2026</t>
  </si>
  <si>
    <t>01.04.2026 to 25.09.2026</t>
  </si>
  <si>
    <t>01.04.2026 to 28.04.2026</t>
  </si>
  <si>
    <t>01.04.2026 to 31.12.2026</t>
  </si>
  <si>
    <t>01.04.2026 to 05.02.2027</t>
  </si>
  <si>
    <t>01.12.2027</t>
  </si>
  <si>
    <t>Income and Expenditure Account for the year ended 31st  March 2026</t>
  </si>
  <si>
    <t>Balance Sheet as at  31st  March 2026</t>
  </si>
  <si>
    <t>R&amp;M - CCTV</t>
  </si>
  <si>
    <t>Postage &amp; Courier</t>
  </si>
  <si>
    <t>BMC Water Bill</t>
  </si>
  <si>
    <t>Park Rose CHS Ltd - Income - Non Members &gt; Interest Income - Fixed Deposit  ( 306002 ) &lt;br/&gt;Transactions From 01-04-2025 to 31-03-2026</t>
  </si>
  <si>
    <t>Journal No.</t>
  </si>
  <si>
    <t>Comments</t>
  </si>
  <si>
    <t>JE-2025-0000056</t>
  </si>
  <si>
    <t>04-07-2025</t>
  </si>
  <si>
    <t>Being old FD   101043031003664 renewed vide new FD   101043031003664 1 SF CCB</t>
  </si>
  <si>
    <t>JE-2025-0000067</t>
  </si>
  <si>
    <t>08-07-2025</t>
  </si>
  <si>
    <t>Being accrued interest on FD   163734 RMF Model</t>
  </si>
  <si>
    <t>JE-2025-0000055</t>
  </si>
  <si>
    <t>06-08-2025</t>
  </si>
  <si>
    <t>Being old FD   101043031003865 renewed vide new FD   101043031003865 1 SF CCB</t>
  </si>
  <si>
    <t>JE-2025-0000068</t>
  </si>
  <si>
    <t>10-09-2025</t>
  </si>
  <si>
    <t>Being accrued interest on FD   163971 SF Model</t>
  </si>
  <si>
    <t>JE-2025-0000057</t>
  </si>
  <si>
    <t>07-11-2025</t>
  </si>
  <si>
    <t>Being old FD   101043031004566 renewed vide new FD   101043031004566 1 SDF CCB</t>
  </si>
  <si>
    <t>JE-2025-0000050</t>
  </si>
  <si>
    <t>01-12-2025</t>
  </si>
  <si>
    <t>Being old FD   101043101002793 renewed vide new FD   101043101002793 1 RF CCB</t>
  </si>
  <si>
    <t>JE-2025-0000051</t>
  </si>
  <si>
    <t>12-12-2025</t>
  </si>
  <si>
    <t>Being old FD   101043101002934 1 renewed vide new FD   101043101002934 2 SF CCB</t>
  </si>
  <si>
    <t>JE-2025-0000052</t>
  </si>
  <si>
    <t>Being old FD   101043101002923 1 renewed vide new FD   101043101002923 2 LRF CCB</t>
  </si>
  <si>
    <t>JE-2025-0000053</t>
  </si>
  <si>
    <t>18-01-2026</t>
  </si>
  <si>
    <t>Being old FD   101043101003729 1 renewed vide new FD   101043101003729 2 LRF CCB</t>
  </si>
  <si>
    <t>JE-2025-0000054</t>
  </si>
  <si>
    <t>Being old FD   101043101003739 1 renewed vide new FD   101043101003739 2 SF CCB</t>
  </si>
  <si>
    <t>JE-2025-0000063</t>
  </si>
  <si>
    <t>27-01-2026</t>
  </si>
  <si>
    <t>Being old FD   101043031005079 renewed vide new FD   101043031005079 1 RMF CCB</t>
  </si>
  <si>
    <t>JE-2025-0000065</t>
  </si>
  <si>
    <t>25-02-2026</t>
  </si>
  <si>
    <t>Being accrued interest on FD   156877 GRF Model</t>
  </si>
  <si>
    <t>JE-2025-0000064</t>
  </si>
  <si>
    <t>Being accrued interest on FD   156876 ETF Model</t>
  </si>
  <si>
    <t>JE-2025-0000059</t>
  </si>
  <si>
    <t>21-03-2026</t>
  </si>
  <si>
    <t>Being old FD   101043101004292 1 renewed vide new FD   10104310100429 2 RMF CCB</t>
  </si>
  <si>
    <t>JE-2025-0000066</t>
  </si>
  <si>
    <t>23-03-2026</t>
  </si>
  <si>
    <t>Being accrued interest on FD   156982 GRF Model</t>
  </si>
  <si>
    <t>JE-2025-0000040</t>
  </si>
  <si>
    <t>Being FD   101043021003929 redeemed on maturity - ETF CCB</t>
  </si>
  <si>
    <t>JE-2025-0000041</t>
  </si>
  <si>
    <t>Being FD   101043021002118 redeemed on maturity - ETF CCB</t>
  </si>
  <si>
    <t>JE-2025-0000042</t>
  </si>
  <si>
    <t>24-03-2026</t>
  </si>
  <si>
    <t>Being FD   101043101004287 redeemed on maturity - SC CCB</t>
  </si>
  <si>
    <t>JE-2025-0000060</t>
  </si>
  <si>
    <t>28-03-2026</t>
  </si>
  <si>
    <t>Being old FD   101043101004522 1 renewed vide new FD   101043101004522 2 GRF CCB</t>
  </si>
  <si>
    <t>JE-2025-0000088</t>
  </si>
  <si>
    <t>31-03-2026</t>
  </si>
  <si>
    <t>Being accrued int. on FD   101043031004566 1 SDF CCB</t>
  </si>
  <si>
    <t>JE-2025-0000087</t>
  </si>
  <si>
    <t>Being accrued int. on FD   101043021004998 GRF CCB</t>
  </si>
  <si>
    <t>JE-2025-0000086</t>
  </si>
  <si>
    <t>Being accrued int. on FD   101043101004522 2 GRF CCB</t>
  </si>
  <si>
    <t>JE-2025-0000085</t>
  </si>
  <si>
    <t>Being accrued int. on FD   101043031007357 LRF CCB</t>
  </si>
  <si>
    <t>JE-2025-0000084</t>
  </si>
  <si>
    <t>Being accrued int. on FD   101043101003729 2 LRF CCB</t>
  </si>
  <si>
    <t>JE-2025-0000083</t>
  </si>
  <si>
    <t>Being accrued int. on FD   10143031003865 1 LRF CCB</t>
  </si>
  <si>
    <t>JE-2025-0000082</t>
  </si>
  <si>
    <t>Being accrued int. on FD   101043101002923 2 LRF CCB</t>
  </si>
  <si>
    <t>JE-2025-0000081</t>
  </si>
  <si>
    <t>Being accrued int. on FD   101043031005079 1 RMF CCB</t>
  </si>
  <si>
    <t>JE-2025-0000080</t>
  </si>
  <si>
    <t>Being accrued int. on FD   101043101006109 RMF CCB</t>
  </si>
  <si>
    <t>JE-2025-0000079</t>
  </si>
  <si>
    <t>Being accrued int. on FD   101043101002793 1 RMF CCB</t>
  </si>
  <si>
    <t>JE-2025-0000078</t>
  </si>
  <si>
    <t>Being accrued int. on FD   101043101004292 2 RMF CCB</t>
  </si>
  <si>
    <t>JE-2025-0000077</t>
  </si>
  <si>
    <t>Being accrued int. on FD   101043031003664 1 SF CCB</t>
  </si>
  <si>
    <t>JE-2025-0000076</t>
  </si>
  <si>
    <t>Being accrued int. on FD   101043101003739 1 SF CCB</t>
  </si>
  <si>
    <t>JE-2025-0000075</t>
  </si>
  <si>
    <t>Being accrued int. on FD   101043101002934 2 SF CCB</t>
  </si>
  <si>
    <t>JE-2025-0000039</t>
  </si>
  <si>
    <t>Being interest on Fixed Deposit   101043041002233 SC CCB</t>
  </si>
  <si>
    <t>RMF</t>
  </si>
  <si>
    <t>LRF</t>
  </si>
  <si>
    <t>GRF</t>
  </si>
  <si>
    <t>SF</t>
  </si>
  <si>
    <t>SDF</t>
  </si>
  <si>
    <t>ETF</t>
  </si>
  <si>
    <t>SC</t>
  </si>
  <si>
    <t>Fund</t>
  </si>
  <si>
    <t>Row Labels</t>
  </si>
  <si>
    <t>Grand Total</t>
  </si>
  <si>
    <t>Column Labels</t>
  </si>
  <si>
    <t>Sum of Credit</t>
  </si>
  <si>
    <t>01.04.2026 to 14.11.2026</t>
  </si>
  <si>
    <t>Less: Spent During the year</t>
  </si>
  <si>
    <t>Advance Locality Maintenance FY 2024-25</t>
  </si>
  <si>
    <t>Ex-Gratia to Security &amp; HK Staff</t>
  </si>
  <si>
    <t>Add: Excess of Income over Expenditure</t>
  </si>
  <si>
    <t>AMC - CCTV and Intercom</t>
  </si>
  <si>
    <t xml:space="preserve"> (iv)Fabricated Collapsible Security Gate</t>
  </si>
  <si>
    <t>TDS Receivables FY 2024-25</t>
  </si>
  <si>
    <t>TDS Receivables FY 2025-26</t>
  </si>
  <si>
    <t>Shri. Bharat C. Boridkar</t>
  </si>
  <si>
    <t>Govt. Certified Panel Auditor</t>
  </si>
  <si>
    <t>Total :-</t>
  </si>
  <si>
    <t>Remark</t>
  </si>
  <si>
    <t>Share Cap</t>
  </si>
  <si>
    <t>`</t>
  </si>
  <si>
    <t>[Panel No.: Mumbai-4/C1/1011404]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</si>
</sst>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&quot;₹&quot;\ * #,##0.00_);_(&quot;₹&quot;\ * \(#,##0.00\);_(&quot;₹&quot;\ * &quot;-&quot;??_);_(@_)"/>
    <numFmt numFmtId="166" formatCode="_ * #,##0_ ;_ * \-#,##0_ ;_ * &quot;-&quot;??_ ;_ @_ "/>
    <numFmt numFmtId="167" formatCode="0.0%"/>
    <numFmt numFmtId="168" formatCode="&quot;Mumbai: &quot;dd&quot;th&quot;\ mmmm\,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8" fillId="0" borderId="0"/>
  </cellStyleXfs>
  <cellXfs count="195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/>
    <xf numFmtId="43" fontId="2" fillId="0" borderId="6" xfId="1" applyFont="1" applyBorder="1"/>
    <xf numFmtId="43" fontId="0" fillId="0" borderId="0" xfId="0" applyNumberFormat="1"/>
    <xf numFmtId="166" fontId="0" fillId="0" borderId="0" xfId="1" applyNumberFormat="1" applyFont="1"/>
    <xf numFmtId="43" fontId="0" fillId="0" borderId="4" xfId="1" applyFont="1" applyFill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0" fontId="0" fillId="0" borderId="6" xfId="0" applyBorder="1"/>
    <xf numFmtId="43" fontId="0" fillId="0" borderId="8" xfId="1" applyFont="1" applyBorder="1" applyAlignment="1">
      <alignment horizontal="center"/>
    </xf>
    <xf numFmtId="43" fontId="0" fillId="0" borderId="0" xfId="1" applyFont="1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0" fillId="0" borderId="5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2" fillId="0" borderId="7" xfId="1" applyFont="1" applyFill="1" applyBorder="1" applyAlignment="1">
      <alignment vertical="center"/>
    </xf>
    <xf numFmtId="43" fontId="1" fillId="0" borderId="2" xfId="1" applyFont="1" applyFill="1" applyBorder="1" applyAlignment="1">
      <alignment vertical="center"/>
    </xf>
    <xf numFmtId="43" fontId="0" fillId="0" borderId="2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3" fontId="2" fillId="0" borderId="0" xfId="1" applyFont="1" applyFill="1" applyAlignment="1">
      <alignment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0" fontId="8" fillId="0" borderId="2" xfId="1" applyNumberFormat="1" applyFont="1" applyFill="1" applyBorder="1" applyAlignment="1">
      <alignment vertical="center"/>
    </xf>
    <xf numFmtId="43" fontId="0" fillId="0" borderId="2" xfId="1" applyFont="1" applyFill="1" applyBorder="1" applyAlignment="1">
      <alignment vertical="center" wrapText="1"/>
    </xf>
    <xf numFmtId="14" fontId="0" fillId="0" borderId="0" xfId="0" applyNumberForma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/>
    <xf numFmtId="166" fontId="0" fillId="0" borderId="1" xfId="1" applyNumberFormat="1" applyFont="1" applyBorder="1"/>
    <xf numFmtId="166" fontId="0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166" fontId="0" fillId="0" borderId="8" xfId="1" applyNumberFormat="1" applyFont="1" applyBorder="1"/>
    <xf numFmtId="0" fontId="0" fillId="0" borderId="2" xfId="1" applyNumberFormat="1" applyFont="1" applyFill="1" applyBorder="1" applyAlignment="1">
      <alignment vertical="center"/>
    </xf>
    <xf numFmtId="43" fontId="1" fillId="0" borderId="0" xfId="1" applyFont="1" applyFill="1" applyBorder="1" applyAlignment="1">
      <alignment horizontal="center" vertical="center"/>
    </xf>
    <xf numFmtId="43" fontId="1" fillId="0" borderId="4" xfId="1" applyFont="1" applyFill="1" applyBorder="1" applyAlignment="1">
      <alignment horizontal="center" vertical="center"/>
    </xf>
    <xf numFmtId="43" fontId="0" fillId="0" borderId="0" xfId="1" applyFont="1" applyFill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/>
    </xf>
    <xf numFmtId="43" fontId="1" fillId="0" borderId="5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166" fontId="0" fillId="0" borderId="0" xfId="1" applyNumberFormat="1" applyFont="1" applyFill="1" applyAlignment="1"/>
    <xf numFmtId="43" fontId="1" fillId="0" borderId="0" xfId="1" applyFont="1" applyFill="1" applyAlignment="1">
      <alignment vertical="center"/>
    </xf>
    <xf numFmtId="43" fontId="1" fillId="0" borderId="4" xfId="1" applyFont="1" applyFill="1" applyBorder="1" applyAlignment="1">
      <alignment vertical="center"/>
    </xf>
    <xf numFmtId="43" fontId="6" fillId="0" borderId="0" xfId="1" applyFont="1" applyFill="1" applyBorder="1" applyAlignment="1">
      <alignment horizontal="center" vertical="center"/>
    </xf>
    <xf numFmtId="43" fontId="2" fillId="0" borderId="9" xfId="1" applyFont="1" applyBorder="1"/>
    <xf numFmtId="43" fontId="0" fillId="0" borderId="6" xfId="1" applyFont="1" applyBorder="1"/>
    <xf numFmtId="0" fontId="0" fillId="0" borderId="10" xfId="0" applyBorder="1"/>
    <xf numFmtId="0" fontId="0" fillId="0" borderId="2" xfId="0" applyBorder="1"/>
    <xf numFmtId="0" fontId="0" fillId="0" borderId="9" xfId="0" applyBorder="1"/>
    <xf numFmtId="0" fontId="2" fillId="0" borderId="9" xfId="0" applyFont="1" applyBorder="1"/>
    <xf numFmtId="166" fontId="2" fillId="0" borderId="9" xfId="1" applyNumberFormat="1" applyFont="1" applyBorder="1" applyAlignment="1"/>
    <xf numFmtId="166" fontId="2" fillId="0" borderId="9" xfId="1" applyNumberFormat="1" applyFont="1" applyBorder="1"/>
    <xf numFmtId="43" fontId="11" fillId="0" borderId="0" xfId="1" applyFont="1" applyFill="1" applyBorder="1" applyAlignment="1">
      <alignment vertical="center"/>
    </xf>
    <xf numFmtId="43" fontId="11" fillId="0" borderId="0" xfId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43" fontId="13" fillId="0" borderId="9" xfId="1" applyFont="1" applyFill="1" applyBorder="1" applyAlignment="1">
      <alignment horizontal="center" vertical="center"/>
    </xf>
    <xf numFmtId="43" fontId="13" fillId="0" borderId="9" xfId="1" quotePrefix="1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/>
    </xf>
    <xf numFmtId="0" fontId="8" fillId="0" borderId="0" xfId="0" applyFont="1"/>
    <xf numFmtId="0" fontId="9" fillId="0" borderId="0" xfId="1" applyNumberFormat="1" applyFont="1" applyFill="1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21" xfId="0" applyBorder="1"/>
    <xf numFmtId="166" fontId="0" fillId="0" borderId="21" xfId="1" applyNumberFormat="1" applyFont="1" applyBorder="1"/>
    <xf numFmtId="166" fontId="0" fillId="2" borderId="0" xfId="1" applyNumberFormat="1" applyFont="1" applyFill="1"/>
    <xf numFmtId="166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1" xfId="0" applyFont="1" applyBorder="1"/>
    <xf numFmtId="166" fontId="0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16" fillId="0" borderId="0" xfId="0" applyFon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43" fontId="7" fillId="0" borderId="0" xfId="1" applyFont="1" applyFill="1" applyBorder="1" applyAlignment="1">
      <alignment horizontal="center" vertical="center"/>
    </xf>
    <xf numFmtId="43" fontId="13" fillId="0" borderId="11" xfId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vertical="center"/>
    </xf>
    <xf numFmtId="43" fontId="13" fillId="0" borderId="27" xfId="1" quotePrefix="1" applyFont="1" applyFill="1" applyBorder="1" applyAlignment="1">
      <alignment horizontal="center" vertical="center"/>
    </xf>
    <xf numFmtId="43" fontId="2" fillId="0" borderId="28" xfId="1" applyFont="1" applyFill="1" applyBorder="1" applyAlignment="1">
      <alignment vertical="center"/>
    </xf>
    <xf numFmtId="43" fontId="2" fillId="0" borderId="29" xfId="1" applyFont="1" applyFill="1" applyBorder="1" applyAlignment="1">
      <alignment vertical="center"/>
    </xf>
    <xf numFmtId="43" fontId="2" fillId="0" borderId="27" xfId="1" applyFont="1" applyFill="1" applyBorder="1" applyAlignment="1">
      <alignment vertical="center"/>
    </xf>
    <xf numFmtId="43" fontId="2" fillId="0" borderId="3" xfId="1" applyFont="1" applyFill="1" applyBorder="1" applyAlignment="1">
      <alignment horizontal="center" vertical="center"/>
    </xf>
    <xf numFmtId="43" fontId="1" fillId="0" borderId="3" xfId="1" applyFont="1" applyFill="1" applyBorder="1" applyAlignment="1">
      <alignment horizontal="center" vertical="center"/>
    </xf>
    <xf numFmtId="43" fontId="1" fillId="0" borderId="3" xfId="1" applyFont="1" applyFill="1" applyBorder="1" applyAlignment="1">
      <alignment vertical="center"/>
    </xf>
    <xf numFmtId="43" fontId="2" fillId="0" borderId="3" xfId="1" applyFont="1" applyFill="1" applyBorder="1" applyAlignment="1">
      <alignment vertical="center"/>
    </xf>
    <xf numFmtId="0" fontId="8" fillId="0" borderId="0" xfId="1" applyNumberFormat="1" applyFont="1" applyFill="1" applyBorder="1" applyAlignment="1">
      <alignment vertical="center"/>
    </xf>
    <xf numFmtId="43" fontId="2" fillId="0" borderId="28" xfId="1" applyFont="1" applyFill="1" applyBorder="1" applyAlignment="1">
      <alignment horizontal="center" vertical="center"/>
    </xf>
    <xf numFmtId="43" fontId="1" fillId="0" borderId="0" xfId="1" applyFont="1" applyFill="1" applyBorder="1" applyAlignment="1">
      <alignment vertical="center"/>
    </xf>
    <xf numFmtId="43" fontId="0" fillId="0" borderId="28" xfId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43" fontId="2" fillId="0" borderId="7" xfId="1" applyFont="1" applyFill="1" applyBorder="1" applyAlignment="1">
      <alignment horizontal="center" vertical="center" wrapText="1"/>
    </xf>
    <xf numFmtId="43" fontId="2" fillId="0" borderId="29" xfId="1" applyFont="1" applyFill="1" applyBorder="1" applyAlignment="1">
      <alignment horizontal="center" vertical="center" wrapText="1"/>
    </xf>
    <xf numFmtId="43" fontId="2" fillId="0" borderId="31" xfId="1" applyFont="1" applyFill="1" applyBorder="1" applyAlignment="1">
      <alignment horizontal="center" vertical="center" wrapText="1"/>
    </xf>
    <xf numFmtId="43" fontId="2" fillId="0" borderId="34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14" fillId="0" borderId="4" xfId="1" applyFont="1" applyFill="1" applyBorder="1" applyAlignment="1">
      <alignment horizontal="right" vertical="center"/>
    </xf>
    <xf numFmtId="43" fontId="1" fillId="0" borderId="8" xfId="1" applyFont="1" applyFill="1" applyBorder="1" applyAlignment="1">
      <alignment horizontal="center" vertical="center"/>
    </xf>
    <xf numFmtId="43" fontId="7" fillId="0" borderId="4" xfId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43" fontId="17" fillId="0" borderId="2" xfId="1" applyFont="1" applyBorder="1" applyAlignment="1">
      <alignment vertical="center"/>
    </xf>
    <xf numFmtId="1" fontId="20" fillId="0" borderId="2" xfId="2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2" fontId="21" fillId="0" borderId="0" xfId="0" applyNumberFormat="1" applyFont="1" applyAlignment="1">
      <alignment vertical="center"/>
    </xf>
    <xf numFmtId="1" fontId="21" fillId="0" borderId="2" xfId="2" applyNumberFormat="1" applyFont="1" applyBorder="1" applyAlignment="1">
      <alignment vertical="center"/>
    </xf>
    <xf numFmtId="43" fontId="11" fillId="0" borderId="2" xfId="1" applyFont="1" applyFill="1" applyBorder="1" applyAlignment="1">
      <alignment vertical="center"/>
    </xf>
    <xf numFmtId="43" fontId="11" fillId="0" borderId="8" xfId="1" applyFont="1" applyFill="1" applyBorder="1" applyAlignment="1">
      <alignment vertical="center"/>
    </xf>
    <xf numFmtId="43" fontId="0" fillId="0" borderId="8" xfId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3" fontId="0" fillId="0" borderId="13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Fill="1" applyBorder="1" applyAlignment="1">
      <alignment vertical="center"/>
    </xf>
    <xf numFmtId="43" fontId="0" fillId="0" borderId="15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3" fontId="0" fillId="0" borderId="23" xfId="1" applyFont="1" applyFill="1" applyBorder="1" applyAlignment="1">
      <alignment vertical="center"/>
    </xf>
    <xf numFmtId="43" fontId="0" fillId="0" borderId="24" xfId="1" applyFont="1" applyFill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43" fontId="2" fillId="0" borderId="13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43" fontId="0" fillId="0" borderId="19" xfId="1" applyFont="1" applyFill="1" applyBorder="1" applyAlignment="1">
      <alignment vertical="center"/>
    </xf>
    <xf numFmtId="43" fontId="0" fillId="0" borderId="19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6" fontId="0" fillId="0" borderId="21" xfId="1" applyNumberFormat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66" fontId="2" fillId="0" borderId="38" xfId="1" applyNumberFormat="1" applyFont="1" applyBorder="1"/>
    <xf numFmtId="166" fontId="2" fillId="0" borderId="38" xfId="1" applyNumberFormat="1" applyFont="1" applyBorder="1" applyAlignment="1">
      <alignment horizontal="center"/>
    </xf>
    <xf numFmtId="43" fontId="2" fillId="0" borderId="38" xfId="1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43" fontId="2" fillId="0" borderId="40" xfId="1" applyFont="1" applyFill="1" applyBorder="1" applyAlignment="1">
      <alignment horizontal="center" vertical="center" wrapText="1"/>
    </xf>
    <xf numFmtId="43" fontId="2" fillId="0" borderId="41" xfId="1" applyFont="1" applyFill="1" applyBorder="1" applyAlignment="1">
      <alignment horizontal="center" vertical="center" wrapText="1"/>
    </xf>
    <xf numFmtId="167" fontId="0" fillId="0" borderId="22" xfId="0" applyNumberFormat="1" applyBorder="1" applyAlignment="1">
      <alignment horizontal="center" vertical="center"/>
    </xf>
    <xf numFmtId="1" fontId="0" fillId="0" borderId="22" xfId="0" quotePrefix="1" applyNumberFormat="1" applyBorder="1" applyAlignment="1">
      <alignment horizontal="left" vertical="center"/>
    </xf>
    <xf numFmtId="43" fontId="2" fillId="0" borderId="23" xfId="1" applyFont="1" applyFill="1" applyBorder="1" applyAlignment="1">
      <alignment vertical="center"/>
    </xf>
    <xf numFmtId="168" fontId="21" fillId="0" borderId="34" xfId="3" applyNumberFormat="1" applyFont="1" applyBorder="1" applyAlignment="1">
      <alignment horizontal="left" vertical="center"/>
    </xf>
    <xf numFmtId="168" fontId="21" fillId="0" borderId="8" xfId="3" applyNumberFormat="1" applyFont="1" applyBorder="1" applyAlignment="1">
      <alignment horizontal="left"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horizontal="center" vertical="center"/>
    </xf>
    <xf numFmtId="0" fontId="5" fillId="0" borderId="32" xfId="1" applyNumberFormat="1" applyFont="1" applyFill="1" applyBorder="1" applyAlignment="1">
      <alignment horizontal="center" vertical="center"/>
    </xf>
    <xf numFmtId="0" fontId="5" fillId="0" borderId="22" xfId="1" applyNumberFormat="1" applyFont="1" applyFill="1" applyBorder="1" applyAlignment="1">
      <alignment horizontal="center" vertical="center"/>
    </xf>
    <xf numFmtId="0" fontId="5" fillId="0" borderId="33" xfId="1" applyNumberFormat="1" applyFont="1" applyFill="1" applyBorder="1" applyAlignment="1">
      <alignment horizontal="center" vertical="center"/>
    </xf>
    <xf numFmtId="43" fontId="7" fillId="0" borderId="2" xfId="1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7" fillId="0" borderId="3" xfId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43" fontId="2" fillId="0" borderId="30" xfId="1" applyFont="1" applyFill="1" applyBorder="1" applyAlignment="1">
      <alignment horizontal="center" vertical="center" wrapText="1"/>
    </xf>
    <xf numFmtId="43" fontId="2" fillId="0" borderId="31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5" fillId="0" borderId="0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0" borderId="0" xfId="0" applyFont="1" applyAlignment="1">
      <alignment horizontal="left"/>
    </xf>
    <xf numFmtId="43" fontId="2" fillId="0" borderId="0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4">
    <cellStyle name="Comma" xfId="1" builtinId="3"/>
    <cellStyle name="Normal" xfId="0" builtinId="0"/>
    <cellStyle name="Normal_BSPL 2004 NS" xfId="3" xr:uid="{00000000-0005-0000-0000-000002000000}"/>
    <cellStyle name="Normal_FY 2003-2004 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" refreshedDate="46166.152295601853" backgroundQuery="1" createdVersion="7" refreshedVersion="7" minRefreshableVersion="3" recordCount="0" supportSubquery="1" supportAdvancedDrill="1" xr:uid="{00000000-000A-0000-FFFF-FFFF00000000}">
  <cacheSource type="external" connectionId="1"/>
  <cacheFields count="3">
    <cacheField name="[Range].[Fund].[Fund]" caption="Fund" numFmtId="0" hierarchy="4" level="1">
      <sharedItems count="7">
        <s v="ETF"/>
        <s v="GRF"/>
        <s v="LRF"/>
        <s v="RMF"/>
        <s v="SC"/>
        <s v="SDF"/>
        <s v="SF"/>
      </sharedItems>
    </cacheField>
    <cacheField name="[Measures].[Sum of Credit]" caption="Sum of Credit" numFmtId="0" hierarchy="9" level="32767"/>
    <cacheField name="[Range].[Bank].[Bank]" caption="Bank" numFmtId="0" hierarchy="5" level="1">
      <sharedItems count="2">
        <s v="Citizen"/>
        <s v="Model"/>
      </sharedItems>
    </cacheField>
  </cacheFields>
  <cacheHierarchies count="10">
    <cacheHierarchy uniqueName="[Range].[Journal No.]" caption="Journal No." attribute="1" defaultMemberUniqueName="[Range].[Journal No.].[All]" allUniqueName="[Range].[Journal No.].[All]" dimensionUniqueName="[Range]" displayFolder="" count="0" memberValueDatatype="130" unbalanced="0"/>
    <cacheHierarchy uniqueName="[Range].[Posted Date]" caption="Posted Date" attribute="1" defaultMemberUniqueName="[Range].[Posted Date].[All]" allUniqueName="[Range].[Posted Date].[All]" dimensionUniqueName="[Range]" displayFolder="" count="0" memberValueDatatype="130" unbalanced="0"/>
    <cacheHierarchy uniqueName="[Range].[Comments]" caption="Comments" attribute="1" defaultMemberUniqueName="[Range].[Comments].[All]" allUniqueName="[Range].[Comments].[All]" dimensionUniqueName="[Range]" displayFolder="" count="0" memberValueDatatype="130" unbalanced="0"/>
    <cacheHierarchy uniqueName="[Range].[Credit]" caption="Credit" attribute="1" defaultMemberUniqueName="[Range].[Credit].[All]" allUniqueName="[Range].[Credit].[All]" dimensionUniqueName="[Range]" displayFolder="" count="2" memberValueDatatype="20" unbalanced="0"/>
    <cacheHierarchy uniqueName="[Range].[Fund]" caption="Fund" attribute="1" defaultMemberUniqueName="[Range].[Fund].[All]" allUniqueName="[Range].[Fun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ank]" caption="Bank" attribute="1" defaultMemberUniqueName="[Range].[Bank].[All]" allUniqueName="[Range].[Bank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redit]" caption="Count of Cred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redit]" caption="Sum of Cred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3:K1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redit" fld="1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terest on FD!$A$2:$F$3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view="pageBreakPreview" topLeftCell="A33" zoomScaleNormal="100" zoomScaleSheetLayoutView="100" workbookViewId="0">
      <selection activeCell="A58" sqref="A58:C58"/>
    </sheetView>
  </sheetViews>
  <sheetFormatPr defaultColWidth="8.6640625" defaultRowHeight="14.4" x14ac:dyDescent="0.3"/>
  <cols>
    <col min="1" max="1" width="14.6640625" style="10" customWidth="1"/>
    <col min="2" max="2" width="41.109375" style="10" bestFit="1" customWidth="1"/>
    <col min="3" max="3" width="14.6640625" style="10" customWidth="1"/>
    <col min="4" max="4" width="14.6640625" style="18" customWidth="1"/>
    <col min="5" max="5" width="14.6640625" style="10" customWidth="1"/>
    <col min="6" max="6" width="37.109375" style="10" bestFit="1" customWidth="1"/>
    <col min="7" max="7" width="14.6640625" style="10" customWidth="1"/>
    <col min="8" max="8" width="14.6640625" style="18" customWidth="1"/>
    <col min="9" max="9" width="12.33203125" style="10" bestFit="1" customWidth="1"/>
    <col min="10" max="16384" width="8.6640625" style="10"/>
  </cols>
  <sheetData>
    <row r="1" spans="1:13" ht="21" x14ac:dyDescent="0.3">
      <c r="A1" s="165" t="s">
        <v>38</v>
      </c>
      <c r="B1" s="166"/>
      <c r="C1" s="166"/>
      <c r="D1" s="166"/>
      <c r="E1" s="166"/>
      <c r="F1" s="166"/>
      <c r="G1" s="166"/>
      <c r="H1" s="167"/>
    </row>
    <row r="2" spans="1:13" x14ac:dyDescent="0.3">
      <c r="A2" s="168" t="s">
        <v>39</v>
      </c>
      <c r="B2" s="169"/>
      <c r="C2" s="169"/>
      <c r="D2" s="169"/>
      <c r="E2" s="169"/>
      <c r="F2" s="169"/>
      <c r="G2" s="169"/>
      <c r="H2" s="170"/>
    </row>
    <row r="3" spans="1:13" x14ac:dyDescent="0.3">
      <c r="A3" s="168" t="s">
        <v>40</v>
      </c>
      <c r="B3" s="169"/>
      <c r="C3" s="169"/>
      <c r="D3" s="169"/>
      <c r="E3" s="169"/>
      <c r="F3" s="169"/>
      <c r="G3" s="169"/>
      <c r="H3" s="170"/>
    </row>
    <row r="4" spans="1:13" ht="18" x14ac:dyDescent="0.3">
      <c r="A4" s="171" t="s">
        <v>259</v>
      </c>
      <c r="B4" s="172"/>
      <c r="C4" s="172"/>
      <c r="D4" s="172"/>
      <c r="E4" s="172"/>
      <c r="F4" s="172"/>
      <c r="G4" s="172"/>
      <c r="H4" s="173"/>
    </row>
    <row r="5" spans="1:13" x14ac:dyDescent="0.3">
      <c r="A5" s="95"/>
      <c r="B5" s="96"/>
      <c r="C5" s="96"/>
      <c r="D5" s="96"/>
      <c r="E5" s="96"/>
      <c r="F5" s="96"/>
      <c r="G5" s="96"/>
      <c r="H5" s="97" t="s">
        <v>41</v>
      </c>
    </row>
    <row r="6" spans="1:13" s="11" customFormat="1" ht="15" thickBot="1" x14ac:dyDescent="0.35">
      <c r="A6" s="57" t="s">
        <v>149</v>
      </c>
      <c r="B6" s="174" t="s">
        <v>0</v>
      </c>
      <c r="C6" s="175"/>
      <c r="D6" s="79" t="s">
        <v>196</v>
      </c>
      <c r="E6" s="77" t="str">
        <f>A6</f>
        <v>March 31, 2025</v>
      </c>
      <c r="F6" s="174" t="s">
        <v>1</v>
      </c>
      <c r="G6" s="175"/>
      <c r="H6" s="56" t="str">
        <f>D6</f>
        <v>March 31, 2026</v>
      </c>
      <c r="I6" s="58"/>
    </row>
    <row r="7" spans="1:13" ht="15" thickTop="1" x14ac:dyDescent="0.3">
      <c r="A7" s="12"/>
      <c r="B7" s="22" t="s">
        <v>7</v>
      </c>
      <c r="C7" s="7"/>
      <c r="D7" s="80"/>
      <c r="E7" s="7"/>
      <c r="F7" s="22" t="s">
        <v>43</v>
      </c>
      <c r="G7" s="7"/>
      <c r="H7" s="13"/>
    </row>
    <row r="8" spans="1:13" ht="15" thickBot="1" x14ac:dyDescent="0.35">
      <c r="A8" s="14">
        <v>100000</v>
      </c>
      <c r="B8" s="15" t="s">
        <v>48</v>
      </c>
      <c r="C8" s="7"/>
      <c r="D8" s="81">
        <v>100000</v>
      </c>
      <c r="E8" s="7">
        <v>72</v>
      </c>
      <c r="F8" s="16" t="s">
        <v>192</v>
      </c>
      <c r="G8" s="7">
        <v>1143</v>
      </c>
      <c r="H8" s="13"/>
    </row>
    <row r="9" spans="1:13" ht="15" thickTop="1" x14ac:dyDescent="0.3">
      <c r="A9" s="12"/>
      <c r="B9" s="15"/>
      <c r="C9" s="7"/>
      <c r="D9" s="80"/>
      <c r="E9" s="7">
        <v>31330.73</v>
      </c>
      <c r="F9" s="15" t="s">
        <v>18</v>
      </c>
      <c r="G9" s="7">
        <f>BRS!D16</f>
        <v>12373.19</v>
      </c>
      <c r="H9" s="13"/>
    </row>
    <row r="10" spans="1:13" x14ac:dyDescent="0.3">
      <c r="A10" s="12"/>
      <c r="B10" s="22" t="s">
        <v>42</v>
      </c>
      <c r="C10" s="7"/>
      <c r="D10" s="80"/>
      <c r="E10" s="7">
        <v>150063.76999999999</v>
      </c>
      <c r="F10" s="15" t="s">
        <v>30</v>
      </c>
      <c r="G10" s="6">
        <f>BRS!D6</f>
        <v>89069.55</v>
      </c>
      <c r="H10" s="13">
        <f>SUM(G8:G10)</f>
        <v>102585.74</v>
      </c>
    </row>
    <row r="11" spans="1:13" x14ac:dyDescent="0.3">
      <c r="A11" s="12">
        <v>17000</v>
      </c>
      <c r="B11" s="16" t="s">
        <v>187</v>
      </c>
      <c r="C11" s="7"/>
      <c r="D11" s="80">
        <v>17000</v>
      </c>
      <c r="E11" s="7"/>
      <c r="F11" s="15"/>
      <c r="G11" s="7"/>
      <c r="H11" s="13"/>
    </row>
    <row r="12" spans="1:13" x14ac:dyDescent="0.3">
      <c r="A12" s="12"/>
      <c r="B12" s="22" t="s">
        <v>45</v>
      </c>
      <c r="C12" s="7"/>
      <c r="D12" s="80"/>
      <c r="E12" s="7">
        <v>100</v>
      </c>
      <c r="F12" s="15" t="s">
        <v>19</v>
      </c>
      <c r="G12" s="7"/>
      <c r="H12" s="13">
        <v>100</v>
      </c>
      <c r="M12" s="17"/>
    </row>
    <row r="13" spans="1:13" x14ac:dyDescent="0.3">
      <c r="A13" s="12"/>
      <c r="B13" s="22" t="s">
        <v>47</v>
      </c>
      <c r="C13" s="7"/>
      <c r="D13" s="80"/>
      <c r="E13" s="7"/>
      <c r="F13" s="15"/>
      <c r="G13" s="7"/>
      <c r="H13" s="13"/>
    </row>
    <row r="14" spans="1:13" x14ac:dyDescent="0.3">
      <c r="A14" s="12">
        <v>149173</v>
      </c>
      <c r="B14" s="16" t="s">
        <v>13</v>
      </c>
      <c r="C14" s="7">
        <v>190162</v>
      </c>
      <c r="D14" s="80"/>
      <c r="E14" s="7">
        <v>1368664</v>
      </c>
      <c r="F14" s="22" t="s">
        <v>120</v>
      </c>
      <c r="G14" s="7">
        <f>'Sch I - FD'!F41</f>
        <v>2353314</v>
      </c>
      <c r="H14" s="13"/>
    </row>
    <row r="15" spans="1:13" x14ac:dyDescent="0.3">
      <c r="A15" s="12">
        <v>3700</v>
      </c>
      <c r="B15" s="17" t="s">
        <v>96</v>
      </c>
      <c r="C15" s="7">
        <f>25000+500+200</f>
        <v>25700</v>
      </c>
      <c r="D15" s="80"/>
      <c r="E15" s="7">
        <v>44076</v>
      </c>
      <c r="F15" s="15" t="s">
        <v>191</v>
      </c>
      <c r="G15" s="6">
        <f>'Sch I - FD'!I41</f>
        <v>74689</v>
      </c>
      <c r="H15" s="13">
        <f>SUM(G12:G15)</f>
        <v>2428003</v>
      </c>
    </row>
    <row r="16" spans="1:13" x14ac:dyDescent="0.3">
      <c r="A16" s="12">
        <v>7171</v>
      </c>
      <c r="B16" s="17" t="s">
        <v>14</v>
      </c>
      <c r="C16" s="7">
        <f>IE!G29</f>
        <v>9473</v>
      </c>
      <c r="D16" s="80"/>
      <c r="E16" s="7"/>
      <c r="F16" s="15"/>
      <c r="G16" s="7"/>
      <c r="H16" s="13"/>
    </row>
    <row r="17" spans="1:8" x14ac:dyDescent="0.3">
      <c r="A17" s="12">
        <v>30118</v>
      </c>
      <c r="B17" s="16" t="s">
        <v>375</v>
      </c>
      <c r="C17" s="6">
        <f>IE!D50</f>
        <v>42015</v>
      </c>
      <c r="D17" s="80">
        <f>SUM(C14:C17)</f>
        <v>267350</v>
      </c>
      <c r="E17" s="7">
        <v>27.98</v>
      </c>
      <c r="F17" s="22" t="s">
        <v>119</v>
      </c>
      <c r="G17" s="7"/>
      <c r="H17" s="13">
        <v>0</v>
      </c>
    </row>
    <row r="18" spans="1:8" x14ac:dyDescent="0.3">
      <c r="A18" s="12"/>
      <c r="B18" s="22" t="s">
        <v>98</v>
      </c>
      <c r="C18" s="7"/>
      <c r="D18" s="80"/>
      <c r="E18" s="7"/>
      <c r="F18" s="15"/>
      <c r="G18" s="7"/>
      <c r="H18" s="13"/>
    </row>
    <row r="19" spans="1:8" x14ac:dyDescent="0.3">
      <c r="A19" s="12">
        <v>116623</v>
      </c>
      <c r="B19" s="16" t="s">
        <v>13</v>
      </c>
      <c r="C19" s="7">
        <f>A19+A20+A21</f>
        <v>257478</v>
      </c>
      <c r="D19" s="80"/>
      <c r="E19" s="7"/>
      <c r="F19" s="22" t="s">
        <v>20</v>
      </c>
      <c r="G19" s="7"/>
      <c r="H19" s="13"/>
    </row>
    <row r="20" spans="1:8" x14ac:dyDescent="0.3">
      <c r="A20" s="12">
        <v>125856</v>
      </c>
      <c r="B20" s="17" t="s">
        <v>96</v>
      </c>
      <c r="C20" s="7">
        <v>125856</v>
      </c>
      <c r="D20" s="80"/>
      <c r="E20" s="7">
        <v>151098</v>
      </c>
      <c r="F20" s="22" t="s">
        <v>195</v>
      </c>
      <c r="G20" s="7">
        <f>'Sch II to IV - Vendors &amp; Mem.'!D44</f>
        <v>156943</v>
      </c>
      <c r="H20" s="13"/>
    </row>
    <row r="21" spans="1:8" x14ac:dyDescent="0.3">
      <c r="A21" s="12">
        <v>14999</v>
      </c>
      <c r="B21" s="17" t="s">
        <v>14</v>
      </c>
      <c r="C21" s="6">
        <f>IE!G25</f>
        <v>25739</v>
      </c>
      <c r="D21" s="80">
        <f>SUM(C19:C21)</f>
        <v>409073</v>
      </c>
      <c r="E21" s="7">
        <v>7214</v>
      </c>
      <c r="F21" s="16" t="s">
        <v>368</v>
      </c>
      <c r="G21" s="7">
        <f>7214</f>
        <v>7214</v>
      </c>
      <c r="H21" s="13"/>
    </row>
    <row r="22" spans="1:8" x14ac:dyDescent="0.3">
      <c r="A22" s="12"/>
      <c r="B22" s="22" t="s">
        <v>99</v>
      </c>
      <c r="C22" s="7"/>
      <c r="D22" s="80"/>
      <c r="E22" s="7">
        <v>0</v>
      </c>
      <c r="F22" s="16" t="s">
        <v>369</v>
      </c>
      <c r="G22" s="7">
        <f>10183</f>
        <v>10183</v>
      </c>
      <c r="H22" s="13"/>
    </row>
    <row r="23" spans="1:8" x14ac:dyDescent="0.3">
      <c r="A23" s="12">
        <v>350534</v>
      </c>
      <c r="B23" s="16" t="s">
        <v>13</v>
      </c>
      <c r="C23" s="7">
        <f>A23+A24+A25</f>
        <v>761795</v>
      </c>
      <c r="D23" s="80"/>
      <c r="E23" s="7">
        <v>13210</v>
      </c>
      <c r="F23" s="16" t="s">
        <v>46</v>
      </c>
      <c r="G23" s="6">
        <v>13210</v>
      </c>
      <c r="H23" s="13">
        <f>SUM(G20:G23)</f>
        <v>187550</v>
      </c>
    </row>
    <row r="24" spans="1:8" x14ac:dyDescent="0.3">
      <c r="A24" s="12">
        <v>377316</v>
      </c>
      <c r="B24" s="17" t="s">
        <v>96</v>
      </c>
      <c r="C24" s="7">
        <v>377316</v>
      </c>
      <c r="D24" s="80"/>
      <c r="E24" s="7"/>
      <c r="F24" s="16"/>
      <c r="G24" s="7"/>
      <c r="H24" s="13"/>
    </row>
    <row r="25" spans="1:8" x14ac:dyDescent="0.3">
      <c r="A25" s="12">
        <v>33945</v>
      </c>
      <c r="B25" s="17" t="s">
        <v>14</v>
      </c>
      <c r="C25" s="6">
        <f>IE!G26</f>
        <v>74672</v>
      </c>
      <c r="D25" s="80">
        <f>SUM(C23:C25)</f>
        <v>1213783</v>
      </c>
      <c r="E25" s="7"/>
      <c r="F25" s="22" t="s">
        <v>131</v>
      </c>
      <c r="G25" s="7"/>
      <c r="H25" s="13"/>
    </row>
    <row r="26" spans="1:8" x14ac:dyDescent="0.3">
      <c r="A26" s="12"/>
      <c r="B26" s="22" t="s">
        <v>97</v>
      </c>
      <c r="C26" s="7"/>
      <c r="D26" s="80"/>
      <c r="E26" s="7">
        <v>5202</v>
      </c>
      <c r="F26" s="22" t="s">
        <v>188</v>
      </c>
      <c r="G26" s="7">
        <v>5202</v>
      </c>
      <c r="H26" s="13"/>
    </row>
    <row r="27" spans="1:8" x14ac:dyDescent="0.3">
      <c r="A27" s="12">
        <v>117524</v>
      </c>
      <c r="B27" s="16" t="s">
        <v>13</v>
      </c>
      <c r="C27" s="7">
        <f>A27+A28+A29</f>
        <v>257538</v>
      </c>
      <c r="D27" s="80"/>
      <c r="E27" s="7">
        <v>0</v>
      </c>
      <c r="F27" s="16" t="s">
        <v>132</v>
      </c>
      <c r="G27" s="7">
        <v>0</v>
      </c>
      <c r="H27" s="13"/>
    </row>
    <row r="28" spans="1:8" x14ac:dyDescent="0.3">
      <c r="A28" s="12">
        <v>125856</v>
      </c>
      <c r="B28" s="17" t="s">
        <v>96</v>
      </c>
      <c r="C28" s="7">
        <v>125856</v>
      </c>
      <c r="D28" s="80"/>
      <c r="E28" s="7">
        <v>0</v>
      </c>
      <c r="F28" s="16" t="s">
        <v>133</v>
      </c>
      <c r="G28" s="6">
        <f>ROUND((+G27+G26)*0.15,0)</f>
        <v>780</v>
      </c>
      <c r="H28" s="13">
        <f>G26+G27-G28</f>
        <v>4422</v>
      </c>
    </row>
    <row r="29" spans="1:8" x14ac:dyDescent="0.3">
      <c r="A29" s="12">
        <v>14158</v>
      </c>
      <c r="B29" s="17" t="s">
        <v>14</v>
      </c>
      <c r="C29" s="6">
        <f>IE!G28</f>
        <v>15754</v>
      </c>
      <c r="D29" s="80">
        <f>SUM(C27:C29)</f>
        <v>399148</v>
      </c>
      <c r="E29" s="7"/>
      <c r="F29" s="16"/>
      <c r="G29" s="7"/>
      <c r="H29" s="13"/>
    </row>
    <row r="30" spans="1:8" x14ac:dyDescent="0.3">
      <c r="A30" s="12"/>
      <c r="B30" s="22" t="s">
        <v>100</v>
      </c>
      <c r="C30" s="7"/>
      <c r="D30" s="80"/>
      <c r="E30" s="7">
        <v>23640</v>
      </c>
      <c r="F30" s="22" t="s">
        <v>189</v>
      </c>
      <c r="G30" s="7">
        <v>23640</v>
      </c>
      <c r="H30" s="13"/>
    </row>
    <row r="31" spans="1:8" x14ac:dyDescent="0.3">
      <c r="A31" s="12">
        <v>3747</v>
      </c>
      <c r="B31" s="16" t="s">
        <v>13</v>
      </c>
      <c r="C31" s="7">
        <f>A31+A33+A34</f>
        <v>8100</v>
      </c>
      <c r="D31" s="80"/>
      <c r="E31" s="7">
        <v>0</v>
      </c>
      <c r="F31" s="16" t="s">
        <v>132</v>
      </c>
      <c r="G31" s="7">
        <v>0</v>
      </c>
      <c r="H31" s="13"/>
    </row>
    <row r="32" spans="1:8" x14ac:dyDescent="0.3">
      <c r="A32" s="12">
        <v>0</v>
      </c>
      <c r="B32" s="17" t="s">
        <v>362</v>
      </c>
      <c r="C32" s="7">
        <v>-8260</v>
      </c>
      <c r="D32" s="80"/>
      <c r="E32" s="7">
        <v>0</v>
      </c>
      <c r="F32" s="16" t="s">
        <v>148</v>
      </c>
      <c r="G32" s="6">
        <f>ROUND((+G31+G30)*0.1,0)</f>
        <v>2364</v>
      </c>
      <c r="H32" s="13">
        <f>G30+G31-G32</f>
        <v>21276</v>
      </c>
    </row>
    <row r="33" spans="1:8" x14ac:dyDescent="0.3">
      <c r="A33" s="12">
        <v>4080</v>
      </c>
      <c r="B33" s="17" t="s">
        <v>96</v>
      </c>
      <c r="C33" s="7">
        <v>4080</v>
      </c>
      <c r="D33" s="80"/>
      <c r="E33" s="7"/>
      <c r="F33" s="16"/>
      <c r="G33" s="7"/>
      <c r="H33" s="13"/>
    </row>
    <row r="34" spans="1:8" x14ac:dyDescent="0.3">
      <c r="A34" s="12">
        <v>273</v>
      </c>
      <c r="B34" s="17" t="s">
        <v>14</v>
      </c>
      <c r="C34" s="6">
        <f>IE!G27</f>
        <v>573</v>
      </c>
      <c r="D34" s="80">
        <f>SUM(C31:C34)</f>
        <v>4493</v>
      </c>
      <c r="E34" s="7">
        <v>6480</v>
      </c>
      <c r="F34" s="22" t="s">
        <v>190</v>
      </c>
      <c r="G34" s="7">
        <v>6480</v>
      </c>
      <c r="H34" s="13"/>
    </row>
    <row r="35" spans="1:8" x14ac:dyDescent="0.3">
      <c r="A35" s="12"/>
      <c r="B35" s="17"/>
      <c r="C35" s="7"/>
      <c r="D35" s="80"/>
      <c r="E35" s="7">
        <v>0</v>
      </c>
      <c r="F35" s="16" t="s">
        <v>132</v>
      </c>
      <c r="G35" s="7">
        <v>0</v>
      </c>
      <c r="H35" s="13"/>
    </row>
    <row r="36" spans="1:8" x14ac:dyDescent="0.3">
      <c r="A36" s="12"/>
      <c r="B36" s="22" t="s">
        <v>16</v>
      </c>
      <c r="C36" s="7"/>
      <c r="D36" s="80"/>
      <c r="E36" s="7">
        <v>0</v>
      </c>
      <c r="F36" s="16" t="s">
        <v>148</v>
      </c>
      <c r="G36" s="6">
        <f>ROUND((+G35+G34)*0.1,0)</f>
        <v>648</v>
      </c>
      <c r="H36" s="13">
        <f>G34+G35-G36</f>
        <v>5832</v>
      </c>
    </row>
    <row r="37" spans="1:8" x14ac:dyDescent="0.3">
      <c r="A37" s="12">
        <v>25352</v>
      </c>
      <c r="B37" s="22" t="s">
        <v>105</v>
      </c>
      <c r="C37" s="7">
        <f>'Sch II to IV - Vendors &amp; Mem.'!D11</f>
        <v>33311</v>
      </c>
      <c r="D37" s="80"/>
      <c r="E37" s="7"/>
      <c r="F37" s="34"/>
      <c r="G37" s="7"/>
      <c r="H37" s="13"/>
    </row>
    <row r="38" spans="1:8" x14ac:dyDescent="0.3">
      <c r="A38" s="12">
        <v>650</v>
      </c>
      <c r="B38" s="16" t="s">
        <v>104</v>
      </c>
      <c r="C38" s="7">
        <v>0</v>
      </c>
      <c r="D38" s="80"/>
      <c r="E38" s="7">
        <v>0</v>
      </c>
      <c r="F38" s="22" t="s">
        <v>367</v>
      </c>
      <c r="G38" s="7">
        <v>0</v>
      </c>
      <c r="H38" s="13"/>
    </row>
    <row r="39" spans="1:8" x14ac:dyDescent="0.3">
      <c r="A39" s="12">
        <v>10000</v>
      </c>
      <c r="B39" s="16" t="s">
        <v>183</v>
      </c>
      <c r="C39" s="7">
        <v>10000</v>
      </c>
      <c r="D39" s="80"/>
      <c r="E39" s="7">
        <v>0</v>
      </c>
      <c r="F39" s="16" t="s">
        <v>132</v>
      </c>
      <c r="G39" s="7">
        <v>27500</v>
      </c>
      <c r="H39" s="13"/>
    </row>
    <row r="40" spans="1:8" x14ac:dyDescent="0.3">
      <c r="A40" s="12">
        <f>'Sch II to IV - Vendors &amp; Mem.'!B19</f>
        <v>12041</v>
      </c>
      <c r="B40" s="22" t="s">
        <v>106</v>
      </c>
      <c r="C40" s="6">
        <f>'Sch II to IV - Vendors &amp; Mem.'!D19</f>
        <v>29450</v>
      </c>
      <c r="D40" s="80">
        <f>SUM(C37:C40)</f>
        <v>72761</v>
      </c>
      <c r="E40" s="7">
        <v>0</v>
      </c>
      <c r="F40" s="16" t="s">
        <v>148</v>
      </c>
      <c r="G40" s="6">
        <f>ROUND((+G39+G38)*0.1,0)</f>
        <v>2750</v>
      </c>
      <c r="H40" s="13">
        <f>G38+G39-G40</f>
        <v>24750</v>
      </c>
    </row>
    <row r="41" spans="1:8" ht="9.9" customHeight="1" x14ac:dyDescent="0.3">
      <c r="A41" s="12"/>
      <c r="B41" s="16"/>
      <c r="C41" s="7"/>
      <c r="D41" s="80"/>
      <c r="E41" s="7"/>
      <c r="F41" s="16"/>
      <c r="G41" s="7"/>
      <c r="H41" s="13"/>
    </row>
    <row r="42" spans="1:8" x14ac:dyDescent="0.3">
      <c r="A42" s="12"/>
      <c r="B42" s="22" t="s">
        <v>113</v>
      </c>
      <c r="C42" s="7"/>
      <c r="D42" s="80"/>
      <c r="E42" s="7"/>
      <c r="F42" s="22"/>
      <c r="G42" s="7"/>
      <c r="H42" s="13"/>
    </row>
    <row r="43" spans="1:8" x14ac:dyDescent="0.3">
      <c r="A43" s="12">
        <v>33564</v>
      </c>
      <c r="B43" s="22" t="s">
        <v>114</v>
      </c>
      <c r="C43" s="7"/>
      <c r="D43" s="80">
        <f>'Sch II to IV - Vendors &amp; Mem.'!D30</f>
        <v>43968</v>
      </c>
      <c r="E43" s="7"/>
      <c r="F43" s="16"/>
      <c r="G43" s="7"/>
      <c r="H43" s="13"/>
    </row>
    <row r="44" spans="1:8" ht="9.9" customHeight="1" x14ac:dyDescent="0.3">
      <c r="A44" s="12"/>
      <c r="B44" s="16"/>
      <c r="C44" s="7"/>
      <c r="D44" s="80"/>
      <c r="E44" s="7"/>
      <c r="F44" s="16"/>
      <c r="G44" s="7"/>
      <c r="H44" s="13"/>
    </row>
    <row r="45" spans="1:8" x14ac:dyDescent="0.3">
      <c r="A45" s="12"/>
      <c r="B45" s="22" t="s">
        <v>17</v>
      </c>
      <c r="C45" s="7"/>
      <c r="D45" s="80"/>
      <c r="E45" s="7"/>
      <c r="F45" s="16"/>
      <c r="G45" s="7"/>
      <c r="H45" s="13"/>
    </row>
    <row r="46" spans="1:8" x14ac:dyDescent="0.3">
      <c r="A46" s="12">
        <v>130545.52000000002</v>
      </c>
      <c r="B46" s="16" t="s">
        <v>44</v>
      </c>
      <c r="C46" s="7">
        <f>SUM(A46:A47)</f>
        <v>220898.47999999998</v>
      </c>
      <c r="D46" s="80"/>
      <c r="E46" s="7"/>
      <c r="F46" s="16"/>
      <c r="G46" s="7"/>
      <c r="H46" s="13"/>
    </row>
    <row r="47" spans="1:8" x14ac:dyDescent="0.3">
      <c r="A47" s="12">
        <v>90352.959999999963</v>
      </c>
      <c r="B47" s="23" t="s">
        <v>365</v>
      </c>
      <c r="C47" s="6">
        <f>IE!D51</f>
        <v>126044.26000000001</v>
      </c>
      <c r="D47" s="80">
        <f>SUM(C46:C47)</f>
        <v>346942.74</v>
      </c>
      <c r="E47" s="7"/>
      <c r="F47" s="16"/>
      <c r="G47" s="7"/>
      <c r="H47" s="13"/>
    </row>
    <row r="48" spans="1:8" ht="9.9" customHeight="1" x14ac:dyDescent="0.3">
      <c r="A48" s="12"/>
      <c r="B48" s="23"/>
      <c r="C48" s="7"/>
      <c r="D48" s="80"/>
      <c r="E48" s="7"/>
      <c r="F48" s="16"/>
      <c r="G48" s="7"/>
      <c r="H48" s="13"/>
    </row>
    <row r="49" spans="1:17" ht="15" thickBot="1" x14ac:dyDescent="0.35">
      <c r="A49" s="21">
        <f>SUM(A11:A48)</f>
        <v>1794578.48</v>
      </c>
      <c r="B49" s="174" t="s">
        <v>15</v>
      </c>
      <c r="C49" s="175"/>
      <c r="D49" s="82">
        <f>SUM(D11:D47)</f>
        <v>2774518.74</v>
      </c>
      <c r="E49" s="78">
        <f>SUM(E7:E48)</f>
        <v>1801178.48</v>
      </c>
      <c r="F49" s="174" t="s">
        <v>15</v>
      </c>
      <c r="G49" s="175"/>
      <c r="H49" s="21">
        <f>SUM(H7:H48)</f>
        <v>2774518.74</v>
      </c>
    </row>
    <row r="50" spans="1:17" ht="9.9" customHeight="1" thickTop="1" x14ac:dyDescent="0.3">
      <c r="A50" s="108">
        <f>A49-E49</f>
        <v>-6600</v>
      </c>
      <c r="B50" s="54"/>
      <c r="C50" s="54"/>
      <c r="D50" s="53"/>
      <c r="E50" s="20"/>
      <c r="F50" s="19"/>
      <c r="G50" s="19"/>
      <c r="H50" s="86">
        <f>H49-D49</f>
        <v>0</v>
      </c>
      <c r="J50" s="17"/>
      <c r="L50" s="17"/>
    </row>
    <row r="51" spans="1:17" ht="15.6" x14ac:dyDescent="0.3">
      <c r="A51" s="100" t="s">
        <v>193</v>
      </c>
      <c r="B51" s="101"/>
      <c r="C51" s="101"/>
      <c r="D51" s="53"/>
      <c r="E51" s="176" t="str">
        <f>"For "&amp;A1</f>
        <v>For PARK ROSE CO-OPERATIVE HOUSING SOCIETY LTD.</v>
      </c>
      <c r="F51" s="176"/>
      <c r="G51" s="176"/>
      <c r="H51" s="177"/>
      <c r="J51" s="17"/>
      <c r="L51" s="17"/>
    </row>
    <row r="52" spans="1:17" x14ac:dyDescent="0.3">
      <c r="A52" s="102"/>
      <c r="B52" s="101"/>
      <c r="C52" s="101"/>
      <c r="D52" s="53"/>
      <c r="E52" s="17"/>
      <c r="F52" s="17"/>
      <c r="G52" s="17"/>
      <c r="H52" s="86"/>
      <c r="J52" s="17"/>
      <c r="L52" s="17"/>
      <c r="P52" s="17"/>
    </row>
    <row r="53" spans="1:17" x14ac:dyDescent="0.3">
      <c r="A53" s="103"/>
      <c r="B53" s="101"/>
      <c r="C53" s="101"/>
      <c r="D53" s="53"/>
      <c r="E53" s="17"/>
      <c r="F53" s="17"/>
      <c r="G53" s="17"/>
      <c r="H53" s="86"/>
      <c r="J53" s="17"/>
      <c r="N53" s="17"/>
      <c r="O53" s="17"/>
      <c r="P53" s="17"/>
      <c r="Q53" s="17"/>
    </row>
    <row r="54" spans="1:17" x14ac:dyDescent="0.3">
      <c r="A54" s="102"/>
      <c r="B54" s="101"/>
      <c r="C54" s="101"/>
      <c r="D54" s="53"/>
      <c r="E54" s="17"/>
      <c r="F54" s="17"/>
      <c r="G54" s="17"/>
      <c r="H54" s="86"/>
      <c r="I54" s="17"/>
      <c r="O54" s="17"/>
      <c r="Q54" s="17"/>
    </row>
    <row r="55" spans="1:17" s="17" customFormat="1" ht="15.6" x14ac:dyDescent="0.3">
      <c r="A55" s="104" t="s">
        <v>370</v>
      </c>
      <c r="B55" s="105"/>
      <c r="C55" s="106"/>
      <c r="D55" s="53"/>
      <c r="E55" s="163"/>
      <c r="F55" s="163"/>
      <c r="G55" s="163"/>
      <c r="H55" s="164"/>
      <c r="J55" s="10"/>
      <c r="K55" s="10"/>
      <c r="L55" s="10"/>
      <c r="M55" s="10"/>
      <c r="N55" s="10"/>
      <c r="O55" s="10"/>
      <c r="P55" s="10"/>
      <c r="Q55" s="10"/>
    </row>
    <row r="56" spans="1:17" ht="15.6" x14ac:dyDescent="0.3">
      <c r="A56" s="107" t="s">
        <v>371</v>
      </c>
      <c r="B56" s="105"/>
      <c r="C56" s="106"/>
      <c r="D56" s="53"/>
      <c r="E56" s="163" t="s">
        <v>194</v>
      </c>
      <c r="F56" s="163"/>
      <c r="G56" s="163"/>
      <c r="H56" s="164"/>
    </row>
    <row r="57" spans="1:17" ht="15.6" x14ac:dyDescent="0.3">
      <c r="A57" s="107" t="s">
        <v>376</v>
      </c>
      <c r="B57" s="105"/>
      <c r="C57" s="106"/>
      <c r="D57" s="53"/>
      <c r="E57" s="17"/>
      <c r="F57" s="17"/>
      <c r="G57" s="17"/>
      <c r="H57" s="86"/>
    </row>
    <row r="58" spans="1:17" ht="15.6" x14ac:dyDescent="0.3">
      <c r="A58" s="161">
        <v>46215</v>
      </c>
      <c r="B58" s="162"/>
      <c r="C58" s="162"/>
      <c r="D58" s="109"/>
      <c r="E58" s="110"/>
      <c r="F58" s="110"/>
      <c r="G58" s="110"/>
      <c r="H58" s="111"/>
    </row>
  </sheetData>
  <mergeCells count="12">
    <mergeCell ref="A58:C58"/>
    <mergeCell ref="E56:H56"/>
    <mergeCell ref="A1:H1"/>
    <mergeCell ref="A2:H2"/>
    <mergeCell ref="A3:H3"/>
    <mergeCell ref="A4:H4"/>
    <mergeCell ref="E55:H55"/>
    <mergeCell ref="B49:C49"/>
    <mergeCell ref="F49:G49"/>
    <mergeCell ref="B6:C6"/>
    <mergeCell ref="F6:G6"/>
    <mergeCell ref="E51:H51"/>
  </mergeCells>
  <printOptions horizontalCentered="1"/>
  <pageMargins left="0.19685039370078741" right="0.19685039370078741" top="0.39370078740157483" bottom="0.19685039370078741" header="0.39370078740157483" footer="0.3937007874015748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view="pageBreakPreview" topLeftCell="A41" zoomScaleNormal="100" zoomScaleSheetLayoutView="100" workbookViewId="0">
      <selection activeCell="A58" sqref="A58:C58"/>
    </sheetView>
  </sheetViews>
  <sheetFormatPr defaultColWidth="8.6640625" defaultRowHeight="14.4" x14ac:dyDescent="0.3"/>
  <cols>
    <col min="1" max="1" width="14.6640625" style="10" customWidth="1"/>
    <col min="2" max="2" width="39.5546875" style="10" customWidth="1"/>
    <col min="3" max="3" width="14.6640625" style="42" customWidth="1"/>
    <col min="4" max="5" width="14.6640625" style="10" customWidth="1"/>
    <col min="6" max="6" width="29.6640625" style="10" customWidth="1"/>
    <col min="7" max="8" width="14.6640625" style="10" customWidth="1"/>
    <col min="9" max="9" width="9.5546875" style="10" bestFit="1" customWidth="1"/>
    <col min="10" max="10" width="11.33203125" bestFit="1" customWidth="1"/>
    <col min="11" max="11" width="10.33203125" bestFit="1" customWidth="1"/>
    <col min="14" max="16384" width="8.6640625" style="10"/>
  </cols>
  <sheetData>
    <row r="1" spans="1:13" ht="21" x14ac:dyDescent="0.3">
      <c r="A1" s="165" t="s">
        <v>38</v>
      </c>
      <c r="B1" s="166"/>
      <c r="C1" s="166"/>
      <c r="D1" s="166"/>
      <c r="E1" s="166"/>
      <c r="F1" s="166"/>
      <c r="G1" s="166"/>
      <c r="H1" s="167"/>
    </row>
    <row r="2" spans="1:13" x14ac:dyDescent="0.3">
      <c r="A2" s="168" t="s">
        <v>39</v>
      </c>
      <c r="B2" s="169"/>
      <c r="C2" s="169"/>
      <c r="D2" s="169"/>
      <c r="E2" s="169"/>
      <c r="F2" s="169"/>
      <c r="G2" s="169"/>
      <c r="H2" s="170"/>
    </row>
    <row r="3" spans="1:13" x14ac:dyDescent="0.3">
      <c r="A3" s="168" t="s">
        <v>40</v>
      </c>
      <c r="B3" s="169"/>
      <c r="C3" s="169"/>
      <c r="D3" s="169"/>
      <c r="E3" s="169"/>
      <c r="F3" s="169"/>
      <c r="G3" s="169"/>
      <c r="H3" s="170"/>
    </row>
    <row r="4" spans="1:13" ht="18" x14ac:dyDescent="0.3">
      <c r="A4" s="171" t="s">
        <v>258</v>
      </c>
      <c r="B4" s="172"/>
      <c r="C4" s="172"/>
      <c r="D4" s="172"/>
      <c r="E4" s="172"/>
      <c r="F4" s="172"/>
      <c r="G4" s="172"/>
      <c r="H4" s="173"/>
    </row>
    <row r="5" spans="1:13" ht="14.1" customHeight="1" x14ac:dyDescent="0.3">
      <c r="A5" s="95"/>
      <c r="B5" s="96"/>
      <c r="C5" s="98"/>
      <c r="D5" s="96"/>
      <c r="E5" s="96"/>
      <c r="F5" s="96"/>
      <c r="G5" s="96"/>
      <c r="H5" s="99" t="s">
        <v>41</v>
      </c>
    </row>
    <row r="6" spans="1:13" s="37" customFormat="1" ht="15" thickBot="1" x14ac:dyDescent="0.35">
      <c r="A6" s="92" t="str">
        <f>BS!A6</f>
        <v>March 31, 2025</v>
      </c>
      <c r="B6" s="178" t="s">
        <v>21</v>
      </c>
      <c r="C6" s="179"/>
      <c r="D6" s="93" t="str">
        <f>BS!D6</f>
        <v>March 31, 2026</v>
      </c>
      <c r="E6" s="94" t="str">
        <f>A6</f>
        <v>March 31, 2025</v>
      </c>
      <c r="F6" s="178" t="s">
        <v>22</v>
      </c>
      <c r="G6" s="179"/>
      <c r="H6" s="92" t="str">
        <f>D6</f>
        <v>March 31, 2026</v>
      </c>
      <c r="J6"/>
      <c r="K6"/>
      <c r="L6"/>
      <c r="M6"/>
    </row>
    <row r="7" spans="1:13" s="11" customFormat="1" ht="15" thickTop="1" x14ac:dyDescent="0.3">
      <c r="A7" s="38"/>
      <c r="B7" s="87" t="s">
        <v>61</v>
      </c>
      <c r="C7" s="35"/>
      <c r="D7" s="88"/>
      <c r="E7" s="83"/>
      <c r="F7" s="87" t="s">
        <v>184</v>
      </c>
      <c r="G7" s="19"/>
      <c r="H7" s="38"/>
      <c r="J7"/>
      <c r="K7"/>
      <c r="L7"/>
      <c r="M7"/>
    </row>
    <row r="8" spans="1:13" s="11" customFormat="1" x14ac:dyDescent="0.3">
      <c r="A8" s="39">
        <v>27324</v>
      </c>
      <c r="B8" s="17" t="s">
        <v>140</v>
      </c>
      <c r="C8" s="35">
        <v>30148</v>
      </c>
      <c r="D8" s="88"/>
      <c r="E8" s="84">
        <v>27216</v>
      </c>
      <c r="F8" s="17" t="s">
        <v>142</v>
      </c>
      <c r="G8" s="35">
        <v>27216</v>
      </c>
      <c r="H8" s="38"/>
      <c r="J8"/>
      <c r="K8"/>
      <c r="L8"/>
      <c r="M8"/>
    </row>
    <row r="9" spans="1:13" s="11" customFormat="1" x14ac:dyDescent="0.3">
      <c r="A9" s="39">
        <v>1032</v>
      </c>
      <c r="B9" s="17" t="s">
        <v>141</v>
      </c>
      <c r="C9" s="35">
        <f>1032</f>
        <v>1032</v>
      </c>
      <c r="D9" s="88"/>
      <c r="E9" s="84">
        <v>1224</v>
      </c>
      <c r="F9" s="17" t="s">
        <v>143</v>
      </c>
      <c r="G9" s="35">
        <v>1224</v>
      </c>
      <c r="H9" s="38"/>
      <c r="J9"/>
      <c r="K9"/>
      <c r="L9"/>
      <c r="M9"/>
    </row>
    <row r="10" spans="1:13" s="11" customFormat="1" x14ac:dyDescent="0.3">
      <c r="A10" s="39">
        <v>190560</v>
      </c>
      <c r="B10" s="17" t="s">
        <v>62</v>
      </c>
      <c r="C10" s="35">
        <f>205730</f>
        <v>205730</v>
      </c>
      <c r="D10" s="88"/>
      <c r="E10" s="84">
        <v>179928</v>
      </c>
      <c r="F10" s="17" t="s">
        <v>50</v>
      </c>
      <c r="G10" s="35">
        <f>179928</f>
        <v>179928</v>
      </c>
      <c r="H10" s="38"/>
      <c r="J10"/>
      <c r="K10"/>
      <c r="L10"/>
      <c r="M10"/>
    </row>
    <row r="11" spans="1:13" s="11" customFormat="1" x14ac:dyDescent="0.3">
      <c r="A11" s="39">
        <v>67725</v>
      </c>
      <c r="B11" s="17" t="s">
        <v>63</v>
      </c>
      <c r="C11" s="35">
        <f>Workings!D10</f>
        <v>68650</v>
      </c>
      <c r="D11" s="88"/>
      <c r="E11" s="84">
        <v>75480</v>
      </c>
      <c r="F11" s="17" t="s">
        <v>51</v>
      </c>
      <c r="G11" s="35">
        <f>81600-6120</f>
        <v>75480</v>
      </c>
      <c r="H11" s="38"/>
      <c r="J11"/>
      <c r="K11"/>
      <c r="L11"/>
      <c r="M11"/>
    </row>
    <row r="12" spans="1:13" s="11" customFormat="1" x14ac:dyDescent="0.3">
      <c r="A12" s="39">
        <v>18588</v>
      </c>
      <c r="B12" s="17" t="s">
        <v>64</v>
      </c>
      <c r="C12" s="36">
        <f>Workings!D47</f>
        <v>19218</v>
      </c>
      <c r="D12" s="88">
        <f>SUM(C8:C12)</f>
        <v>324778</v>
      </c>
      <c r="E12" s="84">
        <v>20040</v>
      </c>
      <c r="F12" s="17" t="s">
        <v>54</v>
      </c>
      <c r="G12" s="35">
        <f>27516-7476</f>
        <v>20040</v>
      </c>
      <c r="H12" s="38"/>
      <c r="J12" s="41"/>
      <c r="K12" s="41"/>
      <c r="L12"/>
      <c r="M12"/>
    </row>
    <row r="13" spans="1:13" s="11" customFormat="1" x14ac:dyDescent="0.3">
      <c r="A13" s="39"/>
      <c r="B13" s="87" t="s">
        <v>65</v>
      </c>
      <c r="C13" s="35"/>
      <c r="D13" s="88"/>
      <c r="E13" s="84">
        <v>212784</v>
      </c>
      <c r="F13" s="17" t="s">
        <v>49</v>
      </c>
      <c r="G13" s="35">
        <f>207984+8000+200</f>
        <v>216184</v>
      </c>
      <c r="H13" s="38"/>
      <c r="J13" s="41"/>
      <c r="K13" s="41"/>
      <c r="L13"/>
      <c r="M13"/>
    </row>
    <row r="14" spans="1:13" s="11" customFormat="1" x14ac:dyDescent="0.3">
      <c r="A14" s="39">
        <v>5900</v>
      </c>
      <c r="B14" s="17" t="s">
        <v>66</v>
      </c>
      <c r="C14" s="35">
        <v>0</v>
      </c>
      <c r="D14" s="88"/>
      <c r="E14" s="84">
        <v>983246</v>
      </c>
      <c r="F14" s="17" t="s">
        <v>52</v>
      </c>
      <c r="G14" s="35">
        <f>34*12*2410</f>
        <v>983280</v>
      </c>
      <c r="H14" s="38"/>
      <c r="J14"/>
      <c r="K14"/>
      <c r="L14"/>
      <c r="M14"/>
    </row>
    <row r="15" spans="1:13" s="11" customFormat="1" x14ac:dyDescent="0.3">
      <c r="A15" s="39">
        <v>11600</v>
      </c>
      <c r="B15" s="17" t="s">
        <v>168</v>
      </c>
      <c r="C15" s="35">
        <v>0</v>
      </c>
      <c r="D15" s="88"/>
      <c r="E15" s="84">
        <v>22130</v>
      </c>
      <c r="F15" s="17" t="s">
        <v>53</v>
      </c>
      <c r="G15" s="35">
        <v>23940</v>
      </c>
      <c r="H15" s="38"/>
      <c r="J15"/>
      <c r="K15"/>
      <c r="L15"/>
      <c r="M15"/>
    </row>
    <row r="16" spans="1:13" s="11" customFormat="1" x14ac:dyDescent="0.3">
      <c r="A16" s="39">
        <v>0</v>
      </c>
      <c r="B16" s="17" t="s">
        <v>260</v>
      </c>
      <c r="C16" s="35">
        <v>6000</v>
      </c>
      <c r="D16" s="88"/>
      <c r="E16" s="84">
        <v>0</v>
      </c>
      <c r="F16" s="17" t="s">
        <v>55</v>
      </c>
      <c r="G16" s="35">
        <f>8020+50</f>
        <v>8070</v>
      </c>
      <c r="H16" s="38"/>
      <c r="J16"/>
      <c r="K16"/>
      <c r="L16"/>
      <c r="M16"/>
    </row>
    <row r="17" spans="1:13" s="11" customFormat="1" x14ac:dyDescent="0.3">
      <c r="A17" s="39">
        <v>0</v>
      </c>
      <c r="B17" s="17" t="s">
        <v>375</v>
      </c>
      <c r="C17" s="35">
        <f>1425+730</f>
        <v>2155</v>
      </c>
      <c r="D17" s="88"/>
      <c r="E17" s="84">
        <v>357</v>
      </c>
      <c r="F17" s="17" t="s">
        <v>56</v>
      </c>
      <c r="G17" s="36">
        <v>506</v>
      </c>
      <c r="H17" s="38">
        <f>SUM(G8:G17)</f>
        <v>1535868</v>
      </c>
      <c r="J17"/>
      <c r="K17"/>
      <c r="L17"/>
      <c r="M17"/>
    </row>
    <row r="18" spans="1:13" s="11" customFormat="1" x14ac:dyDescent="0.3">
      <c r="A18" s="39">
        <v>6160</v>
      </c>
      <c r="B18" s="17" t="s">
        <v>67</v>
      </c>
      <c r="C18" s="35">
        <v>300</v>
      </c>
      <c r="D18" s="88"/>
      <c r="E18" s="84"/>
      <c r="F18" s="17"/>
      <c r="G18" s="35"/>
      <c r="H18" s="38"/>
      <c r="J18"/>
      <c r="K18"/>
      <c r="L18"/>
      <c r="M18"/>
    </row>
    <row r="19" spans="1:13" s="11" customFormat="1" x14ac:dyDescent="0.3">
      <c r="A19" s="39">
        <v>31535</v>
      </c>
      <c r="B19" s="17" t="s">
        <v>68</v>
      </c>
      <c r="C19" s="35">
        <f>18346.76+2750</f>
        <v>21096.76</v>
      </c>
      <c r="D19" s="88"/>
      <c r="E19" s="84"/>
      <c r="F19" s="87" t="s">
        <v>186</v>
      </c>
      <c r="G19" s="35"/>
      <c r="H19" s="38"/>
      <c r="J19"/>
      <c r="K19"/>
      <c r="L19"/>
      <c r="M19"/>
    </row>
    <row r="20" spans="1:13" s="11" customFormat="1" x14ac:dyDescent="0.3">
      <c r="A20" s="39">
        <v>57555</v>
      </c>
      <c r="B20" s="17" t="s">
        <v>69</v>
      </c>
      <c r="C20" s="35">
        <f>40335.24-1500</f>
        <v>38835.24</v>
      </c>
      <c r="D20" s="88"/>
      <c r="E20" s="84">
        <v>5000</v>
      </c>
      <c r="F20" s="17" t="s">
        <v>159</v>
      </c>
      <c r="G20" s="35"/>
      <c r="H20" s="38">
        <f>SUM(G20:G20)</f>
        <v>0</v>
      </c>
      <c r="J20"/>
      <c r="K20"/>
      <c r="L20"/>
      <c r="M20"/>
    </row>
    <row r="21" spans="1:13" s="11" customFormat="1" x14ac:dyDescent="0.3">
      <c r="A21" s="39">
        <v>7550</v>
      </c>
      <c r="B21" s="17" t="s">
        <v>70</v>
      </c>
      <c r="C21" s="35">
        <v>10500</v>
      </c>
      <c r="D21" s="88"/>
      <c r="E21" s="84"/>
      <c r="F21" s="17"/>
      <c r="G21" s="35"/>
      <c r="H21" s="38"/>
      <c r="J21"/>
      <c r="K21"/>
      <c r="L21"/>
      <c r="M21"/>
    </row>
    <row r="22" spans="1:13" x14ac:dyDescent="0.3">
      <c r="A22" s="39">
        <v>6700</v>
      </c>
      <c r="B22" s="17" t="s">
        <v>171</v>
      </c>
      <c r="C22" s="35">
        <v>0</v>
      </c>
      <c r="D22" s="88"/>
      <c r="E22" s="84"/>
      <c r="F22" s="87" t="s">
        <v>185</v>
      </c>
      <c r="G22" s="89"/>
      <c r="H22" s="12"/>
    </row>
    <row r="23" spans="1:13" x14ac:dyDescent="0.3">
      <c r="A23" s="39">
        <v>109647</v>
      </c>
      <c r="B23" s="17" t="s">
        <v>71</v>
      </c>
      <c r="C23" s="35">
        <f>Workings!D16</f>
        <v>119816</v>
      </c>
      <c r="D23" s="88"/>
      <c r="E23" s="85">
        <v>6866</v>
      </c>
      <c r="F23" s="17" t="s">
        <v>58</v>
      </c>
      <c r="G23" s="17"/>
      <c r="H23" s="13">
        <v>8000</v>
      </c>
      <c r="J23" s="71"/>
    </row>
    <row r="24" spans="1:13" x14ac:dyDescent="0.3">
      <c r="A24" s="39">
        <f>6344+6678</f>
        <v>13022</v>
      </c>
      <c r="B24" s="17" t="s">
        <v>366</v>
      </c>
      <c r="C24" s="35">
        <f>Workings!D22+Workings!D40</f>
        <v>12237</v>
      </c>
      <c r="D24" s="88"/>
      <c r="E24" s="85">
        <v>72051</v>
      </c>
      <c r="F24" s="17" t="s">
        <v>59</v>
      </c>
      <c r="G24" s="17">
        <f>101736+26448</f>
        <v>128184</v>
      </c>
      <c r="H24" s="12"/>
    </row>
    <row r="25" spans="1:13" x14ac:dyDescent="0.3">
      <c r="A25" s="39">
        <v>35700</v>
      </c>
      <c r="B25" s="17" t="s">
        <v>172</v>
      </c>
      <c r="C25" s="35">
        <f>Workings!D28</f>
        <v>14744</v>
      </c>
      <c r="D25" s="88"/>
      <c r="E25" s="7">
        <v>-14999</v>
      </c>
      <c r="F25" s="17" t="s">
        <v>34</v>
      </c>
      <c r="G25" s="17">
        <f>25739</f>
        <v>25739</v>
      </c>
      <c r="H25" s="12"/>
    </row>
    <row r="26" spans="1:13" x14ac:dyDescent="0.3">
      <c r="A26" s="39">
        <v>64412</v>
      </c>
      <c r="B26" s="17" t="s">
        <v>72</v>
      </c>
      <c r="C26" s="36">
        <f>Workings!D34</f>
        <v>74336</v>
      </c>
      <c r="D26" s="88">
        <f>SUM(C14:C26)</f>
        <v>300020</v>
      </c>
      <c r="E26" s="7">
        <v>-33945</v>
      </c>
      <c r="F26" s="17" t="s">
        <v>35</v>
      </c>
      <c r="G26" s="17">
        <f>74672</f>
        <v>74672</v>
      </c>
      <c r="H26" s="12"/>
    </row>
    <row r="27" spans="1:13" x14ac:dyDescent="0.3">
      <c r="A27" s="39"/>
      <c r="B27" s="87" t="s">
        <v>74</v>
      </c>
      <c r="C27" s="35"/>
      <c r="D27" s="88"/>
      <c r="E27" s="7">
        <v>-273</v>
      </c>
      <c r="F27" s="17" t="s">
        <v>101</v>
      </c>
      <c r="G27" s="17">
        <f>573</f>
        <v>573</v>
      </c>
      <c r="H27" s="12"/>
    </row>
    <row r="28" spans="1:13" x14ac:dyDescent="0.3">
      <c r="A28" s="39">
        <v>300000</v>
      </c>
      <c r="B28" s="17" t="s">
        <v>75</v>
      </c>
      <c r="C28" s="35">
        <f>305000+5000</f>
        <v>310000</v>
      </c>
      <c r="D28" s="88"/>
      <c r="E28" s="7">
        <v>-14158</v>
      </c>
      <c r="F28" s="17" t="s">
        <v>102</v>
      </c>
      <c r="G28" s="17">
        <f>15754</f>
        <v>15754</v>
      </c>
      <c r="H28" s="12"/>
    </row>
    <row r="29" spans="1:13" x14ac:dyDescent="0.3">
      <c r="A29" s="39">
        <v>93200</v>
      </c>
      <c r="B29" s="17" t="s">
        <v>76</v>
      </c>
      <c r="C29" s="35">
        <f>86000+8000</f>
        <v>94000</v>
      </c>
      <c r="D29" s="88"/>
      <c r="E29" s="7">
        <v>-7171</v>
      </c>
      <c r="F29" s="17" t="s">
        <v>103</v>
      </c>
      <c r="G29" s="6">
        <f>9473</f>
        <v>9473</v>
      </c>
      <c r="H29" s="13">
        <f>G24-SUM(G25:G29)</f>
        <v>1973</v>
      </c>
    </row>
    <row r="30" spans="1:13" x14ac:dyDescent="0.3">
      <c r="A30" s="39">
        <v>6363</v>
      </c>
      <c r="B30" s="17" t="s">
        <v>78</v>
      </c>
      <c r="C30" s="35">
        <v>3682</v>
      </c>
      <c r="D30" s="88"/>
      <c r="E30" s="7"/>
      <c r="F30" s="17"/>
      <c r="G30" s="17"/>
      <c r="H30" s="12"/>
      <c r="L30" s="41"/>
    </row>
    <row r="31" spans="1:13" x14ac:dyDescent="0.3">
      <c r="A31" s="39">
        <v>120000</v>
      </c>
      <c r="B31" s="17" t="s">
        <v>79</v>
      </c>
      <c r="C31" s="35">
        <v>115500</v>
      </c>
      <c r="D31" s="88"/>
      <c r="E31" s="85"/>
      <c r="F31" s="87" t="s">
        <v>31</v>
      </c>
      <c r="G31" s="17"/>
      <c r="H31" s="12"/>
      <c r="L31" s="41"/>
    </row>
    <row r="32" spans="1:13" x14ac:dyDescent="0.3">
      <c r="A32" s="12">
        <v>23288</v>
      </c>
      <c r="B32" s="17" t="s">
        <v>84</v>
      </c>
      <c r="C32" s="36">
        <v>22488</v>
      </c>
      <c r="D32" s="88">
        <f>SUM(C28:C32)</f>
        <v>545670</v>
      </c>
      <c r="E32" s="84">
        <v>451</v>
      </c>
      <c r="F32" s="17" t="s">
        <v>57</v>
      </c>
      <c r="G32" s="17"/>
      <c r="H32" s="13">
        <f>SUM(G32:G32)</f>
        <v>0</v>
      </c>
    </row>
    <row r="33" spans="1:8" x14ac:dyDescent="0.3">
      <c r="A33" s="12"/>
      <c r="B33" s="87" t="s">
        <v>32</v>
      </c>
      <c r="C33" s="89"/>
      <c r="D33" s="90"/>
      <c r="E33" s="84"/>
      <c r="F33" s="17"/>
      <c r="G33" s="17"/>
      <c r="H33" s="13"/>
    </row>
    <row r="34" spans="1:8" x14ac:dyDescent="0.3">
      <c r="A34" s="12">
        <v>4265</v>
      </c>
      <c r="B34" s="17" t="s">
        <v>94</v>
      </c>
      <c r="C34" s="17">
        <f>BS!G28+BS!G32+BS!G36+BS!G40+BS!G44</f>
        <v>6542</v>
      </c>
      <c r="D34" s="90"/>
      <c r="E34" s="85"/>
      <c r="F34" s="17"/>
      <c r="G34" s="17"/>
      <c r="H34" s="13"/>
    </row>
    <row r="35" spans="1:8" x14ac:dyDescent="0.3">
      <c r="A35" s="12">
        <v>120000</v>
      </c>
      <c r="B35" s="17" t="s">
        <v>33</v>
      </c>
      <c r="C35" s="89">
        <v>120000</v>
      </c>
      <c r="D35" s="90"/>
      <c r="E35" s="85"/>
      <c r="F35" s="17"/>
      <c r="G35" s="17"/>
      <c r="H35" s="13"/>
    </row>
    <row r="36" spans="1:8" x14ac:dyDescent="0.3">
      <c r="A36" s="12">
        <v>36000</v>
      </c>
      <c r="B36" s="17" t="s">
        <v>12</v>
      </c>
      <c r="C36" s="89">
        <v>39600</v>
      </c>
      <c r="D36" s="90"/>
      <c r="E36" s="85"/>
      <c r="F36" s="17"/>
      <c r="G36" s="17"/>
      <c r="H36" s="13"/>
    </row>
    <row r="37" spans="1:8" x14ac:dyDescent="0.3">
      <c r="A37" s="12">
        <v>3400</v>
      </c>
      <c r="B37" s="17" t="s">
        <v>11</v>
      </c>
      <c r="C37" s="89">
        <v>3400</v>
      </c>
      <c r="D37" s="90"/>
      <c r="E37" s="86"/>
      <c r="F37" s="17"/>
      <c r="G37" s="17"/>
      <c r="H37" s="13"/>
    </row>
    <row r="38" spans="1:8" x14ac:dyDescent="0.3">
      <c r="A38" s="12">
        <v>826</v>
      </c>
      <c r="B38" s="17" t="s">
        <v>81</v>
      </c>
      <c r="C38" s="89">
        <v>826</v>
      </c>
      <c r="D38" s="90"/>
      <c r="E38" s="7"/>
      <c r="F38" s="17"/>
      <c r="G38" s="17"/>
      <c r="H38" s="13"/>
    </row>
    <row r="39" spans="1:8" x14ac:dyDescent="0.3">
      <c r="A39" s="12">
        <v>6705</v>
      </c>
      <c r="B39" s="17" t="s">
        <v>80</v>
      </c>
      <c r="C39" s="89">
        <v>2328</v>
      </c>
      <c r="D39" s="90"/>
      <c r="E39" s="7"/>
      <c r="F39" s="17"/>
      <c r="G39" s="17"/>
      <c r="H39" s="13"/>
    </row>
    <row r="40" spans="1:8" x14ac:dyDescent="0.3">
      <c r="A40" s="12">
        <v>8323</v>
      </c>
      <c r="B40" s="17" t="s">
        <v>82</v>
      </c>
      <c r="C40" s="89">
        <v>8024</v>
      </c>
      <c r="D40" s="90"/>
      <c r="E40" s="7"/>
      <c r="F40" s="17"/>
      <c r="G40" s="17"/>
      <c r="H40" s="13"/>
    </row>
    <row r="41" spans="1:8" x14ac:dyDescent="0.3">
      <c r="A41" s="12">
        <v>200</v>
      </c>
      <c r="B41" s="17" t="s">
        <v>37</v>
      </c>
      <c r="C41" s="89">
        <v>412</v>
      </c>
      <c r="D41" s="90"/>
      <c r="E41" s="7"/>
      <c r="F41" s="17"/>
      <c r="G41" s="17"/>
      <c r="H41" s="13"/>
    </row>
    <row r="42" spans="1:8" x14ac:dyDescent="0.3">
      <c r="A42" s="12">
        <v>0</v>
      </c>
      <c r="B42" s="17" t="s">
        <v>261</v>
      </c>
      <c r="C42" s="89">
        <v>262</v>
      </c>
      <c r="D42" s="90"/>
      <c r="E42" s="7"/>
      <c r="F42" s="17"/>
      <c r="G42" s="17"/>
      <c r="H42" s="13"/>
    </row>
    <row r="43" spans="1:8" x14ac:dyDescent="0.3">
      <c r="A43" s="12">
        <v>505.03999999999996</v>
      </c>
      <c r="B43" s="17" t="s">
        <v>36</v>
      </c>
      <c r="C43" s="89">
        <v>145.74</v>
      </c>
      <c r="D43" s="90"/>
      <c r="E43" s="7"/>
      <c r="F43" s="17"/>
      <c r="G43" s="17"/>
      <c r="H43" s="13"/>
    </row>
    <row r="44" spans="1:8" x14ac:dyDescent="0.3">
      <c r="A44" s="12">
        <v>1856</v>
      </c>
      <c r="B44" s="17" t="s">
        <v>77</v>
      </c>
      <c r="C44" s="89">
        <v>3195</v>
      </c>
      <c r="D44" s="90"/>
      <c r="E44" s="7"/>
      <c r="F44" s="17"/>
      <c r="G44" s="17"/>
      <c r="H44" s="13"/>
    </row>
    <row r="45" spans="1:8" x14ac:dyDescent="0.3">
      <c r="A45" s="12">
        <v>11435</v>
      </c>
      <c r="B45" s="17" t="s">
        <v>158</v>
      </c>
      <c r="C45" s="89">
        <v>0</v>
      </c>
      <c r="D45" s="90"/>
      <c r="E45" s="7"/>
      <c r="F45" s="17"/>
      <c r="G45" s="17"/>
      <c r="H45" s="13"/>
    </row>
    <row r="46" spans="1:8" x14ac:dyDescent="0.3">
      <c r="A46" s="12">
        <v>1800</v>
      </c>
      <c r="B46" s="17" t="s">
        <v>83</v>
      </c>
      <c r="C46" s="89">
        <f>500-1</f>
        <v>499</v>
      </c>
      <c r="D46" s="90"/>
      <c r="E46" s="7"/>
      <c r="F46" s="17"/>
      <c r="G46" s="17"/>
      <c r="H46" s="13"/>
    </row>
    <row r="47" spans="1:8" x14ac:dyDescent="0.3">
      <c r="A47" s="12">
        <v>18500</v>
      </c>
      <c r="B47" s="17" t="s">
        <v>145</v>
      </c>
      <c r="C47" s="89">
        <f>18000</f>
        <v>18000</v>
      </c>
      <c r="D47" s="90"/>
      <c r="E47" s="7"/>
      <c r="F47" s="17"/>
      <c r="G47" s="17"/>
      <c r="H47" s="13"/>
    </row>
    <row r="48" spans="1:8" x14ac:dyDescent="0.3">
      <c r="A48" s="12">
        <v>4080</v>
      </c>
      <c r="B48" s="91" t="s">
        <v>93</v>
      </c>
      <c r="C48" s="43">
        <v>4080</v>
      </c>
      <c r="D48" s="90">
        <f>SUM(C34:C48)</f>
        <v>207313.74</v>
      </c>
      <c r="E48" s="7"/>
      <c r="F48" s="17"/>
      <c r="G48" s="17"/>
      <c r="H48" s="13"/>
    </row>
    <row r="49" spans="1:13" ht="8.1" customHeight="1" x14ac:dyDescent="0.3">
      <c r="A49" s="12"/>
      <c r="B49" s="17"/>
      <c r="C49" s="89"/>
      <c r="D49" s="90"/>
      <c r="E49" s="7"/>
      <c r="F49" s="17"/>
      <c r="G49" s="17"/>
      <c r="H49" s="13"/>
      <c r="J49" s="71"/>
    </row>
    <row r="50" spans="1:13" x14ac:dyDescent="0.3">
      <c r="A50" s="12">
        <v>30118</v>
      </c>
      <c r="B50" s="20" t="s">
        <v>95</v>
      </c>
      <c r="C50" s="89"/>
      <c r="D50" s="90">
        <f>ROUND((H53-SUM(D7:D49))*25%,)</f>
        <v>42015</v>
      </c>
      <c r="E50" s="7"/>
      <c r="F50" s="17"/>
      <c r="G50" s="17"/>
      <c r="H50" s="13"/>
      <c r="J50" s="71"/>
    </row>
    <row r="51" spans="1:13" x14ac:dyDescent="0.3">
      <c r="A51" s="12">
        <v>90352.959999999963</v>
      </c>
      <c r="B51" s="20" t="s">
        <v>60</v>
      </c>
      <c r="C51" s="89"/>
      <c r="D51" s="90">
        <f>H53-SUM(D7:D50)</f>
        <v>126044.26000000001</v>
      </c>
      <c r="E51" s="7"/>
      <c r="F51" s="17"/>
      <c r="G51" s="17"/>
      <c r="H51" s="12"/>
      <c r="J51" s="71"/>
    </row>
    <row r="52" spans="1:13" ht="8.1" customHeight="1" x14ac:dyDescent="0.3">
      <c r="A52" s="12"/>
      <c r="B52" s="20"/>
      <c r="C52" s="89"/>
      <c r="D52" s="90"/>
      <c r="E52" s="7"/>
      <c r="F52" s="17"/>
      <c r="G52" s="17"/>
      <c r="H52" s="12"/>
      <c r="J52" s="71"/>
    </row>
    <row r="53" spans="1:13" ht="15" thickBot="1" x14ac:dyDescent="0.35">
      <c r="A53" s="21">
        <f>SUM(A7:A51)</f>
        <v>1536227</v>
      </c>
      <c r="B53" s="174" t="s">
        <v>92</v>
      </c>
      <c r="C53" s="175"/>
      <c r="D53" s="82">
        <f>SUM(D7:D51)</f>
        <v>1545841</v>
      </c>
      <c r="E53" s="78">
        <f>SUM(E7:E51)</f>
        <v>1536227</v>
      </c>
      <c r="F53" s="174" t="s">
        <v>92</v>
      </c>
      <c r="G53" s="175"/>
      <c r="H53" s="21">
        <f>SUM(H7:H51)</f>
        <v>1545841</v>
      </c>
    </row>
    <row r="54" spans="1:13" ht="8.1" customHeight="1" thickTop="1" x14ac:dyDescent="0.3">
      <c r="A54" s="108"/>
      <c r="B54" s="54"/>
      <c r="C54" s="55"/>
      <c r="D54" s="53"/>
      <c r="E54" s="53"/>
      <c r="F54" s="19"/>
      <c r="G54" s="19"/>
      <c r="H54" s="86"/>
    </row>
    <row r="55" spans="1:13" ht="15.9" customHeight="1" x14ac:dyDescent="0.3">
      <c r="A55" s="100" t="s">
        <v>193</v>
      </c>
      <c r="B55" s="101"/>
      <c r="C55" s="101"/>
      <c r="D55" s="53"/>
      <c r="E55" s="176" t="str">
        <f>"For "&amp;A1</f>
        <v>For PARK ROSE CO-OPERATIVE HOUSING SOCIETY LTD.</v>
      </c>
      <c r="F55" s="176"/>
      <c r="G55" s="176"/>
      <c r="H55" s="177"/>
    </row>
    <row r="56" spans="1:13" ht="15.9" customHeight="1" x14ac:dyDescent="0.3">
      <c r="A56" s="102"/>
      <c r="B56" s="101"/>
      <c r="C56" s="101"/>
      <c r="D56" s="53"/>
      <c r="E56" s="17"/>
      <c r="F56" s="17"/>
      <c r="G56" s="17"/>
      <c r="H56" s="86"/>
    </row>
    <row r="57" spans="1:13" ht="15.9" customHeight="1" x14ac:dyDescent="0.3">
      <c r="A57" s="103"/>
      <c r="B57" s="101"/>
      <c r="C57" s="101"/>
      <c r="D57" s="53"/>
      <c r="E57" s="17"/>
      <c r="F57" s="17"/>
      <c r="G57" s="17"/>
      <c r="H57" s="86"/>
    </row>
    <row r="58" spans="1:13" ht="15.9" customHeight="1" x14ac:dyDescent="0.3">
      <c r="A58" s="102"/>
      <c r="B58" s="101"/>
      <c r="C58" s="101"/>
      <c r="D58" s="53"/>
      <c r="E58" s="17"/>
      <c r="F58" s="17"/>
      <c r="G58" s="17"/>
      <c r="H58" s="86"/>
      <c r="J58" s="10"/>
      <c r="K58" s="10"/>
      <c r="L58" s="10"/>
      <c r="M58" s="10"/>
    </row>
    <row r="59" spans="1:13" ht="15.9" customHeight="1" x14ac:dyDescent="0.3">
      <c r="A59" s="104" t="s">
        <v>370</v>
      </c>
      <c r="B59" s="105"/>
      <c r="C59" s="106"/>
      <c r="D59" s="53"/>
      <c r="E59" s="163"/>
      <c r="F59" s="163"/>
      <c r="G59" s="163"/>
      <c r="H59" s="164"/>
      <c r="J59" s="10"/>
      <c r="K59" s="10"/>
      <c r="L59" s="10"/>
      <c r="M59" s="10"/>
    </row>
    <row r="60" spans="1:13" ht="15.9" customHeight="1" x14ac:dyDescent="0.3">
      <c r="A60" s="107" t="s">
        <v>371</v>
      </c>
      <c r="B60" s="105"/>
      <c r="C60" s="106"/>
      <c r="D60" s="53"/>
      <c r="E60" s="163" t="s">
        <v>194</v>
      </c>
      <c r="F60" s="163"/>
      <c r="G60" s="163"/>
      <c r="H60" s="164"/>
      <c r="J60" s="10"/>
      <c r="K60" s="10"/>
      <c r="L60" s="10"/>
      <c r="M60" s="10"/>
    </row>
    <row r="61" spans="1:13" ht="15.9" customHeight="1" x14ac:dyDescent="0.3">
      <c r="A61" s="107" t="s">
        <v>376</v>
      </c>
      <c r="B61" s="105"/>
      <c r="C61" s="106"/>
      <c r="D61" s="53"/>
      <c r="E61" s="17"/>
      <c r="F61" s="17"/>
      <c r="G61" s="17"/>
      <c r="H61" s="86"/>
      <c r="J61" s="10"/>
      <c r="K61" s="10"/>
      <c r="L61" s="10"/>
      <c r="M61" s="10"/>
    </row>
    <row r="62" spans="1:13" ht="15.9" customHeight="1" x14ac:dyDescent="0.3">
      <c r="A62" s="161">
        <v>46215</v>
      </c>
      <c r="B62" s="162"/>
      <c r="C62" s="162"/>
      <c r="D62" s="109"/>
      <c r="E62" s="110"/>
      <c r="F62" s="110"/>
      <c r="G62" s="110"/>
      <c r="H62" s="111"/>
      <c r="J62" s="10"/>
      <c r="K62" s="10"/>
      <c r="L62" s="10"/>
      <c r="M62" s="10"/>
    </row>
  </sheetData>
  <mergeCells count="12">
    <mergeCell ref="A62:C62"/>
    <mergeCell ref="B53:C53"/>
    <mergeCell ref="F53:G53"/>
    <mergeCell ref="A1:H1"/>
    <mergeCell ref="A2:H2"/>
    <mergeCell ref="A4:H4"/>
    <mergeCell ref="B6:C6"/>
    <mergeCell ref="F6:G6"/>
    <mergeCell ref="A3:H3"/>
    <mergeCell ref="E55:H55"/>
    <mergeCell ref="E59:H59"/>
    <mergeCell ref="E60:H60"/>
  </mergeCells>
  <printOptions horizontalCentered="1"/>
  <pageMargins left="0.19685039370078741" right="0.19685039370078741" top="0.39370078740157483" bottom="0.19685039370078741" header="0.39370078740157483" footer="0.3937007874015748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2"/>
  <sheetViews>
    <sheetView view="pageBreakPreview" topLeftCell="A31" zoomScaleNormal="100" zoomScaleSheetLayoutView="100" workbookViewId="0">
      <selection activeCell="A58" sqref="A58:C58"/>
    </sheetView>
  </sheetViews>
  <sheetFormatPr defaultColWidth="9.33203125" defaultRowHeight="14.4" x14ac:dyDescent="0.3"/>
  <cols>
    <col min="1" max="1" width="3.33203125" style="70" bestFit="1" customWidth="1"/>
    <col min="2" max="2" width="18.44140625" style="139" bestFit="1" customWidth="1"/>
    <col min="3" max="3" width="6.33203125" style="70" bestFit="1" customWidth="1"/>
    <col min="4" max="4" width="7.33203125" style="70" bestFit="1" customWidth="1"/>
    <col min="5" max="5" width="10.33203125" style="70" bestFit="1" customWidth="1"/>
    <col min="6" max="6" width="12.5546875" style="10" bestFit="1" customWidth="1"/>
    <col min="7" max="7" width="10" style="10" bestFit="1" customWidth="1"/>
    <col min="8" max="9" width="10" style="10" customWidth="1"/>
    <col min="10" max="10" width="12.5546875" style="10" bestFit="1" customWidth="1"/>
    <col min="11" max="11" width="10.33203125" style="11" bestFit="1" customWidth="1"/>
    <col min="12" max="12" width="12.6640625" style="70" bestFit="1" customWidth="1"/>
    <col min="13" max="14" width="8.6640625" style="112" hidden="1" customWidth="1"/>
    <col min="15" max="15" width="9.33203125" style="112"/>
    <col min="16" max="17" width="7" style="112" bestFit="1" customWidth="1"/>
    <col min="18" max="19" width="5" style="112" bestFit="1" customWidth="1"/>
    <col min="20" max="20" width="4.6640625" style="112" bestFit="1" customWidth="1"/>
    <col min="21" max="16384" width="9.33203125" style="112"/>
  </cols>
  <sheetData>
    <row r="1" spans="1:25" ht="18" x14ac:dyDescent="0.3">
      <c r="B1" s="180" t="s">
        <v>28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25" ht="9.9" customHeight="1" x14ac:dyDescent="0.3">
      <c r="A2" s="70" t="s">
        <v>39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25" ht="17.399999999999999" x14ac:dyDescent="0.3">
      <c r="A3" s="181" t="s">
        <v>203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U3" s="112">
        <v>4998</v>
      </c>
      <c r="V3" s="112" t="s">
        <v>237</v>
      </c>
    </row>
    <row r="4" spans="1:25" ht="15" thickBot="1" x14ac:dyDescent="0.35">
      <c r="B4" s="40"/>
      <c r="C4" s="40"/>
      <c r="D4" s="40"/>
      <c r="E4" s="40"/>
      <c r="F4" s="40"/>
      <c r="G4" s="40"/>
      <c r="H4" s="40"/>
      <c r="I4" s="40"/>
      <c r="J4" s="40"/>
      <c r="K4" s="44"/>
      <c r="L4" s="76" t="s">
        <v>41</v>
      </c>
    </row>
    <row r="5" spans="1:25" s="70" customFormat="1" ht="43.8" thickBot="1" x14ac:dyDescent="0.35">
      <c r="A5" s="154" t="s">
        <v>23</v>
      </c>
      <c r="B5" s="155" t="s">
        <v>2</v>
      </c>
      <c r="C5" s="155" t="s">
        <v>9</v>
      </c>
      <c r="D5" s="155" t="s">
        <v>5</v>
      </c>
      <c r="E5" s="155" t="s">
        <v>3</v>
      </c>
      <c r="F5" s="156" t="s">
        <v>4</v>
      </c>
      <c r="G5" s="156" t="s">
        <v>160</v>
      </c>
      <c r="H5" s="156" t="s">
        <v>216</v>
      </c>
      <c r="I5" s="156" t="s">
        <v>220</v>
      </c>
      <c r="J5" s="156" t="s">
        <v>10</v>
      </c>
      <c r="K5" s="155" t="s">
        <v>6</v>
      </c>
      <c r="L5" s="157" t="s">
        <v>8</v>
      </c>
    </row>
    <row r="6" spans="1:25" ht="20.100000000000001" customHeight="1" x14ac:dyDescent="0.3">
      <c r="A6" s="113"/>
      <c r="B6" s="114" t="s">
        <v>85</v>
      </c>
      <c r="F6" s="17"/>
      <c r="G6" s="17"/>
      <c r="H6" s="17"/>
      <c r="I6" s="17"/>
      <c r="J6" s="17"/>
      <c r="K6" s="70"/>
      <c r="L6" s="115"/>
    </row>
    <row r="7" spans="1:25" ht="20.100000000000001" customHeight="1" x14ac:dyDescent="0.3">
      <c r="A7" s="116">
        <v>1</v>
      </c>
      <c r="B7" s="117" t="s">
        <v>222</v>
      </c>
      <c r="C7" s="118">
        <v>6.0999999999999999E-2</v>
      </c>
      <c r="D7" s="119" t="s">
        <v>86</v>
      </c>
      <c r="E7" s="119" t="s">
        <v>223</v>
      </c>
      <c r="F7" s="120">
        <v>17000</v>
      </c>
      <c r="G7" s="120">
        <v>0</v>
      </c>
      <c r="H7" s="120">
        <v>0</v>
      </c>
      <c r="I7" s="120">
        <f>SUM(G7:H7)</f>
        <v>0</v>
      </c>
      <c r="J7" s="120">
        <f>F7+I7</f>
        <v>17000</v>
      </c>
      <c r="K7" s="119" t="s">
        <v>224</v>
      </c>
      <c r="L7" s="121">
        <v>17000</v>
      </c>
      <c r="P7" s="112">
        <f>18099</f>
        <v>18099</v>
      </c>
      <c r="Q7" s="112">
        <f>18130</f>
        <v>18130</v>
      </c>
      <c r="R7" s="112">
        <f>Q7-P7</f>
        <v>31</v>
      </c>
      <c r="S7" s="112">
        <f>ROUND(R7/90%,0)</f>
        <v>34</v>
      </c>
      <c r="T7" s="112">
        <f>S7-R7</f>
        <v>3</v>
      </c>
    </row>
    <row r="8" spans="1:25" ht="20.100000000000001" customHeight="1" thickBot="1" x14ac:dyDescent="0.35">
      <c r="A8" s="122"/>
      <c r="B8" s="123"/>
      <c r="C8" s="124"/>
      <c r="D8" s="124"/>
      <c r="E8" s="124"/>
      <c r="F8" s="21">
        <f>SUM(F7)</f>
        <v>17000</v>
      </c>
      <c r="G8" s="21">
        <f t="shared" ref="G8:L8" si="0">SUM(G7)</f>
        <v>0</v>
      </c>
      <c r="H8" s="21">
        <f t="shared" si="0"/>
        <v>0</v>
      </c>
      <c r="I8" s="21">
        <f t="shared" si="0"/>
        <v>0</v>
      </c>
      <c r="J8" s="21">
        <f t="shared" si="0"/>
        <v>17000</v>
      </c>
      <c r="K8" s="124"/>
      <c r="L8" s="125">
        <f t="shared" si="0"/>
        <v>17000</v>
      </c>
      <c r="P8" s="126"/>
      <c r="S8" s="112">
        <f>1221-S7</f>
        <v>1187</v>
      </c>
      <c r="T8" s="112">
        <f>T7-124</f>
        <v>-121</v>
      </c>
      <c r="V8" s="112">
        <v>6992</v>
      </c>
      <c r="W8" s="112">
        <v>701</v>
      </c>
    </row>
    <row r="9" spans="1:25" ht="20.100000000000001" customHeight="1" thickTop="1" x14ac:dyDescent="0.3">
      <c r="A9" s="113"/>
      <c r="B9" s="114" t="s">
        <v>87</v>
      </c>
      <c r="F9" s="17"/>
      <c r="G9" s="17"/>
      <c r="H9" s="17"/>
      <c r="I9" s="17"/>
      <c r="J9" s="17"/>
      <c r="K9" s="70"/>
      <c r="L9" s="115"/>
      <c r="V9" s="112">
        <f>V8-W21</f>
        <v>1154</v>
      </c>
      <c r="W9" s="112">
        <f>W8-V17</f>
        <v>117</v>
      </c>
      <c r="X9" s="112">
        <f>V9-W9</f>
        <v>1037</v>
      </c>
    </row>
    <row r="10" spans="1:25" ht="20.100000000000001" customHeight="1" x14ac:dyDescent="0.3">
      <c r="A10" s="116">
        <v>2</v>
      </c>
      <c r="B10" s="117" t="s">
        <v>225</v>
      </c>
      <c r="C10" s="127">
        <v>0.06</v>
      </c>
      <c r="D10" s="119" t="s">
        <v>86</v>
      </c>
      <c r="E10" s="119" t="s">
        <v>180</v>
      </c>
      <c r="F10" s="120">
        <v>85162</v>
      </c>
      <c r="G10" s="120">
        <v>0</v>
      </c>
      <c r="H10" s="120">
        <f>1548-157</f>
        <v>1391</v>
      </c>
      <c r="I10" s="120">
        <f t="shared" ref="I10:I13" si="1">SUM(G10:H10)</f>
        <v>1391</v>
      </c>
      <c r="J10" s="120">
        <f>F10+I10</f>
        <v>86553</v>
      </c>
      <c r="K10" s="119" t="s">
        <v>226</v>
      </c>
      <c r="L10" s="121">
        <v>90388</v>
      </c>
      <c r="P10" s="112">
        <v>80004</v>
      </c>
      <c r="Q10" s="112">
        <v>81530</v>
      </c>
      <c r="R10" s="112">
        <f>Q10-P10</f>
        <v>1526</v>
      </c>
      <c r="S10" s="112">
        <f>ROUND(R10/90%,0)</f>
        <v>1696</v>
      </c>
      <c r="T10" s="112">
        <f>S10-R10</f>
        <v>170</v>
      </c>
    </row>
    <row r="11" spans="1:25" ht="20.100000000000001" customHeight="1" x14ac:dyDescent="0.3">
      <c r="A11" s="116">
        <v>3</v>
      </c>
      <c r="B11" s="117" t="s">
        <v>162</v>
      </c>
      <c r="C11" s="128">
        <v>5.8500000000000003E-2</v>
      </c>
      <c r="D11" s="119" t="s">
        <v>86</v>
      </c>
      <c r="E11" s="119" t="s">
        <v>181</v>
      </c>
      <c r="F11" s="120">
        <v>45393</v>
      </c>
      <c r="G11" s="120">
        <v>0</v>
      </c>
      <c r="H11" s="120">
        <f>533-50</f>
        <v>483</v>
      </c>
      <c r="I11" s="120">
        <f t="shared" si="1"/>
        <v>483</v>
      </c>
      <c r="J11" s="120">
        <f>F11+I11</f>
        <v>45876</v>
      </c>
      <c r="K11" s="119" t="s">
        <v>228</v>
      </c>
      <c r="L11" s="121">
        <v>48107</v>
      </c>
      <c r="S11" s="112">
        <f>5490-S10</f>
        <v>3794</v>
      </c>
      <c r="T11" s="112">
        <f>T10-550</f>
        <v>-380</v>
      </c>
    </row>
    <row r="12" spans="1:25" ht="20.100000000000001" customHeight="1" x14ac:dyDescent="0.3">
      <c r="A12" s="116">
        <v>4</v>
      </c>
      <c r="B12" s="129" t="s">
        <v>231</v>
      </c>
      <c r="C12" s="118">
        <v>6.6000000000000003E-2</v>
      </c>
      <c r="D12" s="119" t="s">
        <v>86</v>
      </c>
      <c r="E12" s="119" t="s">
        <v>179</v>
      </c>
      <c r="F12" s="120">
        <v>134058</v>
      </c>
      <c r="G12" s="120">
        <v>0</v>
      </c>
      <c r="H12" s="120">
        <f>6522-648</f>
        <v>5874</v>
      </c>
      <c r="I12" s="120">
        <f t="shared" si="1"/>
        <v>5874</v>
      </c>
      <c r="J12" s="120">
        <f>F12+I12</f>
        <v>139932</v>
      </c>
      <c r="K12" s="119" t="s">
        <v>232</v>
      </c>
      <c r="L12" s="121">
        <v>142906</v>
      </c>
    </row>
    <row r="13" spans="1:25" ht="20.100000000000001" customHeight="1" x14ac:dyDescent="0.3">
      <c r="A13" s="130">
        <v>5</v>
      </c>
      <c r="B13" s="129">
        <v>163971</v>
      </c>
      <c r="C13" s="128">
        <v>7.2499999999999995E-2</v>
      </c>
      <c r="D13" s="119" t="s">
        <v>244</v>
      </c>
      <c r="E13" s="131" t="s">
        <v>245</v>
      </c>
      <c r="F13" s="132">
        <v>126000</v>
      </c>
      <c r="G13" s="120">
        <v>0</v>
      </c>
      <c r="H13" s="132">
        <v>5180</v>
      </c>
      <c r="I13" s="120">
        <f t="shared" si="1"/>
        <v>5180</v>
      </c>
      <c r="J13" s="120">
        <f>F13+I13</f>
        <v>131180</v>
      </c>
      <c r="K13" s="131" t="s">
        <v>246</v>
      </c>
      <c r="L13" s="133">
        <v>135386</v>
      </c>
    </row>
    <row r="14" spans="1:25" ht="20.100000000000001" customHeight="1" thickBot="1" x14ac:dyDescent="0.35">
      <c r="A14" s="122"/>
      <c r="B14" s="123"/>
      <c r="C14" s="124"/>
      <c r="D14" s="124"/>
      <c r="E14" s="124"/>
      <c r="F14" s="21">
        <f t="shared" ref="F14:L14" si="2">SUM(F10:F13)</f>
        <v>390613</v>
      </c>
      <c r="G14" s="21">
        <f t="shared" si="2"/>
        <v>0</v>
      </c>
      <c r="H14" s="21">
        <f t="shared" si="2"/>
        <v>12928</v>
      </c>
      <c r="I14" s="21">
        <f t="shared" si="2"/>
        <v>12928</v>
      </c>
      <c r="J14" s="21">
        <f t="shared" si="2"/>
        <v>403541</v>
      </c>
      <c r="K14" s="124"/>
      <c r="L14" s="21">
        <f t="shared" si="2"/>
        <v>416787</v>
      </c>
      <c r="P14" s="126"/>
    </row>
    <row r="15" spans="1:25" ht="20.100000000000001" customHeight="1" thickTop="1" x14ac:dyDescent="0.3">
      <c r="A15" s="113"/>
      <c r="B15" s="114" t="s">
        <v>88</v>
      </c>
      <c r="F15" s="17"/>
      <c r="G15" s="17"/>
      <c r="H15" s="17"/>
      <c r="I15" s="17"/>
      <c r="J15" s="17"/>
      <c r="K15" s="70"/>
      <c r="L15" s="115"/>
      <c r="X15" s="112" t="s">
        <v>219</v>
      </c>
    </row>
    <row r="16" spans="1:25" ht="20.100000000000001" customHeight="1" x14ac:dyDescent="0.3">
      <c r="A16" s="116">
        <v>6</v>
      </c>
      <c r="B16" s="117" t="s">
        <v>217</v>
      </c>
      <c r="C16" s="128">
        <v>5.8500000000000003E-2</v>
      </c>
      <c r="D16" s="119" t="s">
        <v>86</v>
      </c>
      <c r="E16" s="119" t="s">
        <v>175</v>
      </c>
      <c r="F16" s="120">
        <v>136004</v>
      </c>
      <c r="G16" s="120">
        <v>0</v>
      </c>
      <c r="H16" s="120">
        <f>221-25</f>
        <v>196</v>
      </c>
      <c r="I16" s="120">
        <f t="shared" ref="I16:I20" si="3">SUM(G16:H16)</f>
        <v>196</v>
      </c>
      <c r="J16" s="120">
        <f>F16+I16</f>
        <v>136200</v>
      </c>
      <c r="K16" s="119" t="s">
        <v>218</v>
      </c>
      <c r="L16" s="121">
        <v>144136</v>
      </c>
      <c r="P16" s="112">
        <v>127766</v>
      </c>
      <c r="Q16" s="112">
        <v>127986</v>
      </c>
      <c r="R16" s="112">
        <f>Q16-P16</f>
        <v>220</v>
      </c>
      <c r="S16" s="112">
        <f>ROUND(R16/90%,0)</f>
        <v>244</v>
      </c>
      <c r="T16" s="112">
        <f>S16-R16</f>
        <v>24</v>
      </c>
      <c r="V16" s="112">
        <v>106388</v>
      </c>
      <c r="X16" s="112">
        <f>Y16-V16</f>
        <v>1037</v>
      </c>
      <c r="Y16" s="112">
        <v>107425</v>
      </c>
    </row>
    <row r="17" spans="1:24" ht="20.100000000000001" customHeight="1" x14ac:dyDescent="0.3">
      <c r="A17" s="116">
        <v>7</v>
      </c>
      <c r="B17" s="129" t="s">
        <v>375</v>
      </c>
      <c r="C17" s="118">
        <v>6.0999999999999999E-2</v>
      </c>
      <c r="D17" s="119" t="s">
        <v>86</v>
      </c>
      <c r="E17" s="119" t="s">
        <v>147</v>
      </c>
      <c r="F17" s="120">
        <f>256700</f>
        <v>256700</v>
      </c>
      <c r="G17" s="120">
        <v>0</v>
      </c>
      <c r="H17" s="120">
        <f>5220-524</f>
        <v>4696</v>
      </c>
      <c r="I17" s="120">
        <f t="shared" si="3"/>
        <v>4696</v>
      </c>
      <c r="J17" s="120">
        <f>F17+I17</f>
        <v>261396</v>
      </c>
      <c r="K17" s="119" t="s">
        <v>257</v>
      </c>
      <c r="L17" s="121">
        <v>289741</v>
      </c>
      <c r="S17" s="112">
        <f>8617-S16</f>
        <v>8373</v>
      </c>
      <c r="T17" s="112">
        <f>861-T16</f>
        <v>837</v>
      </c>
      <c r="V17" s="112">
        <v>584</v>
      </c>
    </row>
    <row r="18" spans="1:24" ht="20.100000000000001" customHeight="1" x14ac:dyDescent="0.3">
      <c r="A18" s="116">
        <v>8</v>
      </c>
      <c r="B18" s="129">
        <v>101043101006109</v>
      </c>
      <c r="C18" s="128">
        <v>7.2499999999999995E-2</v>
      </c>
      <c r="D18" s="119" t="s">
        <v>86</v>
      </c>
      <c r="E18" s="119" t="s">
        <v>161</v>
      </c>
      <c r="F18" s="120">
        <v>277000</v>
      </c>
      <c r="G18" s="120">
        <f>6946-696</f>
        <v>6250</v>
      </c>
      <c r="H18" s="120">
        <f>21044-2106</f>
        <v>18938</v>
      </c>
      <c r="I18" s="120">
        <f t="shared" si="3"/>
        <v>25188</v>
      </c>
      <c r="J18" s="120">
        <f>F18+I18</f>
        <v>302188</v>
      </c>
      <c r="K18" s="119" t="s">
        <v>178</v>
      </c>
      <c r="L18" s="121">
        <v>341592</v>
      </c>
      <c r="W18" s="112">
        <v>100000</v>
      </c>
    </row>
    <row r="19" spans="1:24" ht="20.100000000000001" customHeight="1" x14ac:dyDescent="0.3">
      <c r="A19" s="116">
        <v>9</v>
      </c>
      <c r="B19" s="129" t="s">
        <v>243</v>
      </c>
      <c r="C19" s="118">
        <v>6.0999999999999999E-2</v>
      </c>
      <c r="D19" s="119" t="s">
        <v>86</v>
      </c>
      <c r="E19" s="119" t="s">
        <v>177</v>
      </c>
      <c r="F19" s="120">
        <v>106388</v>
      </c>
      <c r="G19" s="120">
        <v>0</v>
      </c>
      <c r="H19" s="120">
        <f>1154-117</f>
        <v>1037</v>
      </c>
      <c r="I19" s="120">
        <f t="shared" si="3"/>
        <v>1037</v>
      </c>
      <c r="J19" s="120">
        <f>F19+I19</f>
        <v>107425</v>
      </c>
      <c r="K19" s="119" t="s">
        <v>177</v>
      </c>
      <c r="L19" s="121">
        <v>112878</v>
      </c>
      <c r="W19" s="112">
        <v>1134</v>
      </c>
    </row>
    <row r="20" spans="1:24" ht="20.100000000000001" customHeight="1" x14ac:dyDescent="0.3">
      <c r="A20" s="130">
        <v>10</v>
      </c>
      <c r="B20" s="129">
        <v>163734</v>
      </c>
      <c r="C20" s="128">
        <v>7.2499999999999995E-2</v>
      </c>
      <c r="D20" s="119" t="s">
        <v>244</v>
      </c>
      <c r="E20" s="131" t="s">
        <v>251</v>
      </c>
      <c r="F20" s="132">
        <v>377000</v>
      </c>
      <c r="G20" s="120">
        <v>0</v>
      </c>
      <c r="H20" s="132">
        <v>20233</v>
      </c>
      <c r="I20" s="120">
        <f t="shared" si="3"/>
        <v>20233</v>
      </c>
      <c r="J20" s="120">
        <f>F20+I20</f>
        <v>397233</v>
      </c>
      <c r="K20" s="131" t="s">
        <v>252</v>
      </c>
      <c r="L20" s="133">
        <v>405085</v>
      </c>
    </row>
    <row r="21" spans="1:24" ht="20.100000000000001" customHeight="1" thickBot="1" x14ac:dyDescent="0.35">
      <c r="A21" s="122"/>
      <c r="B21" s="123"/>
      <c r="C21" s="124"/>
      <c r="D21" s="124"/>
      <c r="E21" s="124"/>
      <c r="F21" s="125">
        <f t="shared" ref="F21" si="4">SUM(F16:F20)</f>
        <v>1153092</v>
      </c>
      <c r="G21" s="125">
        <f t="shared" ref="G21" si="5">SUM(G16:G20)</f>
        <v>6250</v>
      </c>
      <c r="H21" s="125">
        <f t="shared" ref="H21" si="6">SUM(H16:H20)</f>
        <v>45100</v>
      </c>
      <c r="I21" s="125">
        <f t="shared" ref="I21" si="7">SUM(I16:I20)</f>
        <v>51350</v>
      </c>
      <c r="J21" s="125">
        <f t="shared" ref="J21:L21" si="8">SUM(J16:J20)</f>
        <v>1204442</v>
      </c>
      <c r="K21" s="124"/>
      <c r="L21" s="125">
        <f t="shared" si="8"/>
        <v>1293432</v>
      </c>
      <c r="P21" s="126"/>
      <c r="W21" s="112">
        <v>5838</v>
      </c>
    </row>
    <row r="22" spans="1:24" ht="20.100000000000001" customHeight="1" thickTop="1" x14ac:dyDescent="0.3">
      <c r="A22" s="113"/>
      <c r="B22" s="114" t="s">
        <v>89</v>
      </c>
      <c r="F22" s="17"/>
      <c r="G22" s="17"/>
      <c r="H22" s="17"/>
      <c r="I22" s="17"/>
      <c r="J22" s="17"/>
      <c r="K22" s="70"/>
      <c r="L22" s="115"/>
    </row>
    <row r="23" spans="1:24" ht="20.100000000000001" customHeight="1" x14ac:dyDescent="0.3">
      <c r="A23" s="119">
        <v>11</v>
      </c>
      <c r="B23" s="129">
        <v>156876</v>
      </c>
      <c r="C23" s="128">
        <v>6.8500000000000005E-2</v>
      </c>
      <c r="D23" s="131" t="s">
        <v>244</v>
      </c>
      <c r="E23" s="131" t="s">
        <v>249</v>
      </c>
      <c r="F23" s="132">
        <v>4100</v>
      </c>
      <c r="G23" s="132">
        <v>0</v>
      </c>
      <c r="H23" s="132">
        <v>27</v>
      </c>
      <c r="I23" s="120">
        <f>SUM(G23:H23)</f>
        <v>27</v>
      </c>
      <c r="J23" s="120">
        <f>F23+I23</f>
        <v>4127</v>
      </c>
      <c r="K23" s="131" t="s">
        <v>250</v>
      </c>
      <c r="L23" s="133">
        <v>4388</v>
      </c>
    </row>
    <row r="24" spans="1:24" ht="20.100000000000001" customHeight="1" thickBot="1" x14ac:dyDescent="0.35">
      <c r="A24" s="122"/>
      <c r="B24" s="123"/>
      <c r="C24" s="124"/>
      <c r="D24" s="124"/>
      <c r="E24" s="124"/>
      <c r="F24" s="21">
        <f>SUM(F23:F23)</f>
        <v>4100</v>
      </c>
      <c r="G24" s="21">
        <f>SUM(G23:G23)</f>
        <v>0</v>
      </c>
      <c r="H24" s="21">
        <f>SUM(H23:H23)</f>
        <v>27</v>
      </c>
      <c r="I24" s="21">
        <f>SUM(I23:I23)</f>
        <v>27</v>
      </c>
      <c r="J24" s="21">
        <f>SUM(J23:J23)</f>
        <v>4127</v>
      </c>
      <c r="K24" s="124"/>
      <c r="L24" s="21">
        <f>SUM(L23:L23)</f>
        <v>4388</v>
      </c>
      <c r="S24" s="112" t="e">
        <f>263-#REF!</f>
        <v>#REF!</v>
      </c>
      <c r="T24" s="112" t="e">
        <f>28-#REF!</f>
        <v>#REF!</v>
      </c>
      <c r="X24" s="112" t="e">
        <f>#REF!/90%</f>
        <v>#REF!</v>
      </c>
    </row>
    <row r="25" spans="1:24" ht="20.100000000000001" customHeight="1" thickTop="1" x14ac:dyDescent="0.3">
      <c r="A25" s="113"/>
      <c r="B25" s="114" t="s">
        <v>90</v>
      </c>
      <c r="F25" s="17"/>
      <c r="G25" s="17"/>
      <c r="H25" s="17"/>
      <c r="I25" s="17"/>
      <c r="J25" s="17"/>
      <c r="K25" s="70"/>
      <c r="L25" s="115"/>
      <c r="P25" s="126"/>
    </row>
    <row r="26" spans="1:24" ht="20.100000000000001" customHeight="1" x14ac:dyDescent="0.3">
      <c r="A26" s="116">
        <v>12</v>
      </c>
      <c r="B26" s="129" t="s">
        <v>227</v>
      </c>
      <c r="C26" s="127">
        <v>0.06</v>
      </c>
      <c r="D26" s="119" t="s">
        <v>86</v>
      </c>
      <c r="E26" s="119" t="s">
        <v>180</v>
      </c>
      <c r="F26" s="120">
        <v>85162</v>
      </c>
      <c r="G26" s="120">
        <v>0</v>
      </c>
      <c r="H26" s="120">
        <f>1548-157</f>
        <v>1391</v>
      </c>
      <c r="I26" s="120">
        <f t="shared" ref="I26:I29" si="9">SUM(G26:H26)</f>
        <v>1391</v>
      </c>
      <c r="J26" s="120">
        <f>F26+I26</f>
        <v>86553</v>
      </c>
      <c r="K26" s="119" t="s">
        <v>226</v>
      </c>
      <c r="L26" s="121">
        <v>90388</v>
      </c>
    </row>
    <row r="27" spans="1:24" ht="20.100000000000001" customHeight="1" x14ac:dyDescent="0.3">
      <c r="A27" s="116">
        <v>13</v>
      </c>
      <c r="B27" s="129" t="s">
        <v>240</v>
      </c>
      <c r="C27" s="128">
        <v>6.3500000000000001E-2</v>
      </c>
      <c r="D27" s="119" t="s">
        <v>86</v>
      </c>
      <c r="E27" s="119" t="s">
        <v>182</v>
      </c>
      <c r="F27" s="120">
        <v>132988</v>
      </c>
      <c r="G27" s="120">
        <v>0</v>
      </c>
      <c r="H27" s="120">
        <f>5481-550</f>
        <v>4931</v>
      </c>
      <c r="I27" s="120">
        <f t="shared" si="9"/>
        <v>4931</v>
      </c>
      <c r="J27" s="120">
        <f>F27+I27</f>
        <v>137919</v>
      </c>
      <c r="K27" s="119" t="s">
        <v>230</v>
      </c>
      <c r="L27" s="121">
        <v>141433</v>
      </c>
    </row>
    <row r="28" spans="1:24" ht="20.100000000000001" customHeight="1" x14ac:dyDescent="0.3">
      <c r="A28" s="130">
        <v>14</v>
      </c>
      <c r="B28" s="129" t="s">
        <v>229</v>
      </c>
      <c r="C28" s="128">
        <v>5.8500000000000003E-2</v>
      </c>
      <c r="D28" s="119" t="s">
        <v>86</v>
      </c>
      <c r="E28" s="119" t="s">
        <v>181</v>
      </c>
      <c r="F28" s="120">
        <v>45393</v>
      </c>
      <c r="G28" s="120">
        <v>0</v>
      </c>
      <c r="H28" s="120">
        <f>533-50</f>
        <v>483</v>
      </c>
      <c r="I28" s="120">
        <f t="shared" si="9"/>
        <v>483</v>
      </c>
      <c r="J28" s="120">
        <f>F28+I28</f>
        <v>45876</v>
      </c>
      <c r="K28" s="119" t="s">
        <v>228</v>
      </c>
      <c r="L28" s="121">
        <v>48107</v>
      </c>
      <c r="P28" s="112">
        <f>42640</f>
        <v>42640</v>
      </c>
      <c r="Q28" s="112">
        <f>43183</f>
        <v>43183</v>
      </c>
      <c r="R28" s="112">
        <f>Q28-P28</f>
        <v>543</v>
      </c>
      <c r="S28" s="112">
        <f>ROUND(R28/90%,0)</f>
        <v>603</v>
      </c>
      <c r="T28" s="112">
        <f>S28-R28</f>
        <v>60</v>
      </c>
    </row>
    <row r="29" spans="1:24" ht="20.100000000000001" customHeight="1" x14ac:dyDescent="0.3">
      <c r="A29" s="130">
        <v>15</v>
      </c>
      <c r="B29" s="129">
        <v>101043031007357</v>
      </c>
      <c r="C29" s="134">
        <v>6.25E-2</v>
      </c>
      <c r="D29" s="119" t="s">
        <v>86</v>
      </c>
      <c r="E29" s="131" t="s">
        <v>241</v>
      </c>
      <c r="F29" s="132">
        <v>126000</v>
      </c>
      <c r="G29" s="120">
        <v>0</v>
      </c>
      <c r="H29" s="132">
        <f>1701-171</f>
        <v>1530</v>
      </c>
      <c r="I29" s="120">
        <f t="shared" si="9"/>
        <v>1530</v>
      </c>
      <c r="J29" s="120">
        <f>F29+I29</f>
        <v>127530</v>
      </c>
      <c r="K29" s="131" t="s">
        <v>242</v>
      </c>
      <c r="L29" s="133">
        <v>133875</v>
      </c>
    </row>
    <row r="30" spans="1:24" ht="20.100000000000001" customHeight="1" thickBot="1" x14ac:dyDescent="0.35">
      <c r="A30" s="122"/>
      <c r="B30" s="123"/>
      <c r="C30" s="124"/>
      <c r="D30" s="124"/>
      <c r="E30" s="124"/>
      <c r="F30" s="21">
        <f t="shared" ref="F30:L30" si="10">SUM(F26:F29)</f>
        <v>389543</v>
      </c>
      <c r="G30" s="21">
        <f t="shared" si="10"/>
        <v>0</v>
      </c>
      <c r="H30" s="21">
        <f t="shared" si="10"/>
        <v>8335</v>
      </c>
      <c r="I30" s="21">
        <f t="shared" si="10"/>
        <v>8335</v>
      </c>
      <c r="J30" s="21">
        <f t="shared" si="10"/>
        <v>397878</v>
      </c>
      <c r="K30" s="124"/>
      <c r="L30" s="21">
        <f t="shared" si="10"/>
        <v>413803</v>
      </c>
      <c r="P30" s="126"/>
      <c r="S30" s="112">
        <f>2907-S28</f>
        <v>2304</v>
      </c>
      <c r="T30" s="112">
        <f>290-T28</f>
        <v>230</v>
      </c>
    </row>
    <row r="31" spans="1:24" ht="20.100000000000001" customHeight="1" thickTop="1" x14ac:dyDescent="0.3">
      <c r="A31" s="113"/>
      <c r="B31" s="114" t="s">
        <v>91</v>
      </c>
      <c r="F31" s="17"/>
      <c r="G31" s="17"/>
      <c r="H31" s="17"/>
      <c r="I31" s="17"/>
      <c r="J31" s="17"/>
      <c r="K31" s="70"/>
      <c r="L31" s="115"/>
    </row>
    <row r="32" spans="1:24" ht="20.100000000000001" customHeight="1" x14ac:dyDescent="0.3">
      <c r="A32" s="119">
        <v>16</v>
      </c>
      <c r="B32" s="117" t="s">
        <v>235</v>
      </c>
      <c r="C32" s="128">
        <v>5.5800000000000002E-2</v>
      </c>
      <c r="D32" s="119" t="s">
        <v>86</v>
      </c>
      <c r="E32" s="119" t="s">
        <v>174</v>
      </c>
      <c r="F32" s="120">
        <v>113321</v>
      </c>
      <c r="G32" s="120">
        <v>0</v>
      </c>
      <c r="H32" s="120">
        <f>55-7</f>
        <v>48</v>
      </c>
      <c r="I32" s="120">
        <f>SUM(G32:H32)</f>
        <v>48</v>
      </c>
      <c r="J32" s="120">
        <f>F32+I32</f>
        <v>113369</v>
      </c>
      <c r="K32" s="119" t="s">
        <v>236</v>
      </c>
      <c r="L32" s="121">
        <v>120097</v>
      </c>
      <c r="P32" s="112">
        <v>106456</v>
      </c>
      <c r="Q32" s="112">
        <v>106510</v>
      </c>
      <c r="R32" s="112">
        <f>Q32-P32</f>
        <v>54</v>
      </c>
      <c r="S32" s="112">
        <f>ROUND(R32/90%,0)</f>
        <v>60</v>
      </c>
      <c r="T32" s="112">
        <f>S32-R32</f>
        <v>6</v>
      </c>
    </row>
    <row r="33" spans="1:20" ht="20.100000000000001" customHeight="1" x14ac:dyDescent="0.3">
      <c r="A33" s="119">
        <v>17</v>
      </c>
      <c r="B33" s="129">
        <v>101043021004998</v>
      </c>
      <c r="C33" s="128">
        <v>6.25E-2</v>
      </c>
      <c r="D33" s="119" t="s">
        <v>86</v>
      </c>
      <c r="E33" s="131" t="s">
        <v>238</v>
      </c>
      <c r="F33" s="132">
        <v>25000</v>
      </c>
      <c r="G33" s="120">
        <v>0</v>
      </c>
      <c r="H33" s="132">
        <f>842-87</f>
        <v>755</v>
      </c>
      <c r="I33" s="120">
        <f t="shared" ref="I33:I35" si="11">SUM(G33:H33)</f>
        <v>755</v>
      </c>
      <c r="J33" s="120">
        <f>F33+I33</f>
        <v>25755</v>
      </c>
      <c r="K33" s="131" t="s">
        <v>239</v>
      </c>
      <c r="L33" s="133">
        <v>26563</v>
      </c>
    </row>
    <row r="34" spans="1:20" ht="20.100000000000001" customHeight="1" x14ac:dyDescent="0.3">
      <c r="A34" s="119">
        <v>18</v>
      </c>
      <c r="B34" s="129">
        <v>156982</v>
      </c>
      <c r="C34" s="128">
        <v>6.8500000000000005E-2</v>
      </c>
      <c r="D34" s="119" t="s">
        <v>244</v>
      </c>
      <c r="E34" s="131" t="s">
        <v>247</v>
      </c>
      <c r="F34" s="132">
        <v>130000</v>
      </c>
      <c r="G34" s="132">
        <v>0</v>
      </c>
      <c r="H34" s="132">
        <v>220</v>
      </c>
      <c r="I34" s="120">
        <f t="shared" si="11"/>
        <v>220</v>
      </c>
      <c r="J34" s="120">
        <f>F34+I34</f>
        <v>130220</v>
      </c>
      <c r="K34" s="131" t="s">
        <v>248</v>
      </c>
      <c r="L34" s="133">
        <v>139136</v>
      </c>
    </row>
    <row r="35" spans="1:20" ht="20.100000000000001" customHeight="1" x14ac:dyDescent="0.3">
      <c r="A35" s="119">
        <v>19</v>
      </c>
      <c r="B35" s="129">
        <v>156877</v>
      </c>
      <c r="C35" s="128">
        <v>6.8500000000000005E-2</v>
      </c>
      <c r="D35" s="119" t="s">
        <v>244</v>
      </c>
      <c r="E35" s="131" t="s">
        <v>249</v>
      </c>
      <c r="F35" s="132">
        <v>120000</v>
      </c>
      <c r="G35" s="132">
        <v>0</v>
      </c>
      <c r="H35" s="132">
        <v>788</v>
      </c>
      <c r="I35" s="120">
        <f t="shared" si="11"/>
        <v>788</v>
      </c>
      <c r="J35" s="120">
        <f>F35+I35</f>
        <v>120788</v>
      </c>
      <c r="K35" s="131" t="s">
        <v>250</v>
      </c>
      <c r="L35" s="133">
        <v>128434</v>
      </c>
    </row>
    <row r="36" spans="1:20" ht="20.100000000000001" customHeight="1" thickBot="1" x14ac:dyDescent="0.35">
      <c r="A36" s="135"/>
      <c r="B36" s="135"/>
      <c r="C36" s="136"/>
      <c r="D36" s="136"/>
      <c r="E36" s="124"/>
      <c r="F36" s="21">
        <f>SUM(F32:F35)</f>
        <v>388321</v>
      </c>
      <c r="G36" s="21">
        <f t="shared" ref="G36:L36" si="12">SUM(G32:G35)</f>
        <v>0</v>
      </c>
      <c r="H36" s="21">
        <f t="shared" si="12"/>
        <v>1811</v>
      </c>
      <c r="I36" s="21">
        <f t="shared" si="12"/>
        <v>1811</v>
      </c>
      <c r="J36" s="21">
        <f t="shared" si="12"/>
        <v>390132</v>
      </c>
      <c r="K36" s="137"/>
      <c r="L36" s="21">
        <f t="shared" si="12"/>
        <v>414230</v>
      </c>
      <c r="P36" s="126"/>
      <c r="S36" s="112">
        <f>7171-S32</f>
        <v>7111</v>
      </c>
      <c r="T36" s="112">
        <f>719-T32</f>
        <v>713</v>
      </c>
    </row>
    <row r="37" spans="1:20" ht="20.100000000000001" customHeight="1" thickTop="1" x14ac:dyDescent="0.3">
      <c r="A37" s="114"/>
      <c r="B37" s="114" t="s">
        <v>173</v>
      </c>
      <c r="F37" s="20"/>
      <c r="G37" s="20"/>
      <c r="H37" s="20"/>
      <c r="I37" s="20"/>
      <c r="J37" s="20"/>
      <c r="K37" s="40"/>
      <c r="L37" s="138"/>
      <c r="P37" s="126"/>
    </row>
    <row r="38" spans="1:20" ht="20.100000000000001" customHeight="1" x14ac:dyDescent="0.3">
      <c r="A38" s="116">
        <v>20</v>
      </c>
      <c r="B38" s="129" t="s">
        <v>233</v>
      </c>
      <c r="C38" s="118">
        <v>6.25E-2</v>
      </c>
      <c r="D38" s="119" t="s">
        <v>86</v>
      </c>
      <c r="E38" s="119" t="s">
        <v>176</v>
      </c>
      <c r="F38" s="120">
        <v>10645</v>
      </c>
      <c r="G38" s="120">
        <v>0</v>
      </c>
      <c r="H38" s="120">
        <f>258-20</f>
        <v>238</v>
      </c>
      <c r="I38" s="120">
        <f>SUM(G38:H38)</f>
        <v>238</v>
      </c>
      <c r="J38" s="120">
        <f>F38+I38</f>
        <v>10883</v>
      </c>
      <c r="K38" s="119" t="s">
        <v>234</v>
      </c>
      <c r="L38" s="121">
        <v>11310</v>
      </c>
      <c r="P38" s="126"/>
    </row>
    <row r="39" spans="1:20" ht="20.100000000000001" customHeight="1" thickBot="1" x14ac:dyDescent="0.35">
      <c r="A39" s="122"/>
      <c r="B39" s="123"/>
      <c r="C39" s="124"/>
      <c r="D39" s="124"/>
      <c r="E39" s="124"/>
      <c r="F39" s="21">
        <f>SUM(F38)</f>
        <v>10645</v>
      </c>
      <c r="G39" s="21">
        <f t="shared" ref="G39:L39" si="13">SUM(G38)</f>
        <v>0</v>
      </c>
      <c r="H39" s="21">
        <f t="shared" si="13"/>
        <v>238</v>
      </c>
      <c r="I39" s="21">
        <f t="shared" si="13"/>
        <v>238</v>
      </c>
      <c r="J39" s="21">
        <f t="shared" si="13"/>
        <v>10883</v>
      </c>
      <c r="K39" s="137"/>
      <c r="L39" s="125">
        <f t="shared" si="13"/>
        <v>11310</v>
      </c>
      <c r="P39" s="126"/>
    </row>
    <row r="40" spans="1:20" ht="9.9" customHeight="1" thickTop="1" x14ac:dyDescent="0.3">
      <c r="A40" s="113"/>
      <c r="F40" s="17"/>
      <c r="G40" s="17"/>
      <c r="H40" s="17"/>
      <c r="I40" s="17"/>
      <c r="J40" s="17"/>
      <c r="K40" s="40"/>
      <c r="L40" s="140"/>
      <c r="P40" s="126"/>
    </row>
    <row r="41" spans="1:20" ht="20.100000000000001" customHeight="1" thickBot="1" x14ac:dyDescent="0.35">
      <c r="A41" s="122"/>
      <c r="B41" s="141" t="s">
        <v>92</v>
      </c>
      <c r="C41" s="124"/>
      <c r="D41" s="124"/>
      <c r="E41" s="124"/>
      <c r="F41" s="21">
        <f>SUM(F8,F14,F21,F24,F30,F36,F39)</f>
        <v>2353314</v>
      </c>
      <c r="G41" s="21">
        <f>SUM(G8,G14,G21,G24,G30,G36,G39)</f>
        <v>6250</v>
      </c>
      <c r="H41" s="21">
        <f>SUM(H8,H14,H21,H24,H30,H36,H39)</f>
        <v>68439</v>
      </c>
      <c r="I41" s="21">
        <f>SUM(I8,I14,I21,I24,I30,I36,I39)</f>
        <v>74689</v>
      </c>
      <c r="J41" s="21">
        <f>SUM(J8,J14,J21,J24,J30,J36,J39)</f>
        <v>2428003</v>
      </c>
      <c r="K41" s="137"/>
      <c r="L41" s="125">
        <f>SUM(L8,L14,L21,L24,L30,L36,L39)</f>
        <v>2570950</v>
      </c>
    </row>
    <row r="42" spans="1:20" ht="9.9" customHeight="1" thickTop="1" thickBot="1" x14ac:dyDescent="0.35">
      <c r="A42" s="142"/>
      <c r="B42" s="143"/>
      <c r="C42" s="144"/>
      <c r="D42" s="144"/>
      <c r="E42" s="144"/>
      <c r="F42" s="145"/>
      <c r="G42" s="145"/>
      <c r="H42" s="145"/>
      <c r="I42" s="145"/>
      <c r="J42" s="145"/>
      <c r="K42" s="146"/>
      <c r="L42" s="147"/>
    </row>
  </sheetData>
  <mergeCells count="2">
    <mergeCell ref="B1:L1"/>
    <mergeCell ref="A3:L3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view="pageBreakPreview" topLeftCell="A9" zoomScaleNormal="100" zoomScaleSheetLayoutView="100" workbookViewId="0">
      <selection activeCell="A58" sqref="A58:C58"/>
    </sheetView>
  </sheetViews>
  <sheetFormatPr defaultRowHeight="14.4" x14ac:dyDescent="0.3"/>
  <cols>
    <col min="1" max="1" width="6.33203125" style="26" customWidth="1"/>
    <col min="2" max="2" width="14.6640625" style="26" customWidth="1"/>
    <col min="3" max="3" width="47.6640625" bestFit="1" customWidth="1"/>
    <col min="4" max="4" width="14.6640625" style="5" customWidth="1"/>
    <col min="5" max="5" width="21.6640625" style="5" customWidth="1"/>
  </cols>
  <sheetData>
    <row r="1" spans="1:10" ht="18" x14ac:dyDescent="0.3">
      <c r="A1" s="188" t="s">
        <v>28</v>
      </c>
      <c r="B1" s="188"/>
      <c r="C1" s="188"/>
      <c r="D1" s="188"/>
      <c r="E1" s="60"/>
      <c r="F1" s="60"/>
      <c r="G1" s="60"/>
      <c r="H1" s="60"/>
      <c r="I1" s="60"/>
      <c r="J1" s="60"/>
    </row>
    <row r="2" spans="1:10" ht="18" x14ac:dyDescent="0.3">
      <c r="A2" s="189" t="s">
        <v>39</v>
      </c>
      <c r="B2" s="189"/>
      <c r="C2" s="189"/>
      <c r="D2" s="189"/>
      <c r="E2" s="60"/>
      <c r="F2" s="60"/>
      <c r="G2" s="60"/>
      <c r="H2" s="60"/>
      <c r="I2" s="60"/>
      <c r="J2" s="60"/>
    </row>
    <row r="3" spans="1:10" x14ac:dyDescent="0.3">
      <c r="A3" s="191" t="s">
        <v>107</v>
      </c>
      <c r="B3" s="191"/>
      <c r="C3" s="191"/>
      <c r="D3" s="191"/>
    </row>
    <row r="4" spans="1:10" ht="10.199999999999999" customHeight="1" x14ac:dyDescent="0.3"/>
    <row r="5" spans="1:10" x14ac:dyDescent="0.3">
      <c r="A5" s="190" t="s">
        <v>198</v>
      </c>
      <c r="B5" s="190"/>
      <c r="C5" s="190"/>
      <c r="D5" s="190"/>
    </row>
    <row r="6" spans="1:10" ht="15" thickBot="1" x14ac:dyDescent="0.35">
      <c r="A6" s="149" t="s">
        <v>108</v>
      </c>
      <c r="B6" s="150" t="s">
        <v>164</v>
      </c>
      <c r="C6" s="149" t="s">
        <v>109</v>
      </c>
      <c r="D6" s="150" t="s">
        <v>197</v>
      </c>
    </row>
    <row r="7" spans="1:10" x14ac:dyDescent="0.3">
      <c r="A7" s="61">
        <v>1</v>
      </c>
      <c r="B7" s="148">
        <v>0</v>
      </c>
      <c r="C7" s="62" t="s">
        <v>262</v>
      </c>
      <c r="D7" s="63">
        <v>17061</v>
      </c>
    </row>
    <row r="8" spans="1:10" x14ac:dyDescent="0.3">
      <c r="A8" s="27">
        <v>2</v>
      </c>
      <c r="B8" s="69">
        <v>102</v>
      </c>
      <c r="C8" s="29" t="s">
        <v>110</v>
      </c>
      <c r="D8" s="30">
        <v>0</v>
      </c>
    </row>
    <row r="9" spans="1:10" x14ac:dyDescent="0.3">
      <c r="A9" s="27">
        <v>3</v>
      </c>
      <c r="B9" s="69">
        <v>15250</v>
      </c>
      <c r="C9" s="29" t="s">
        <v>144</v>
      </c>
      <c r="D9" s="30">
        <f>530+15720</f>
        <v>16250</v>
      </c>
    </row>
    <row r="10" spans="1:10" x14ac:dyDescent="0.3">
      <c r="A10" s="27">
        <v>4</v>
      </c>
      <c r="B10" s="69">
        <v>10000</v>
      </c>
      <c r="C10" s="29" t="s">
        <v>204</v>
      </c>
      <c r="D10" s="30">
        <v>0</v>
      </c>
    </row>
    <row r="11" spans="1:10" ht="15" thickBot="1" x14ac:dyDescent="0.35">
      <c r="A11" s="50"/>
      <c r="B11" s="52">
        <f>SUM(B7:B10)</f>
        <v>25352</v>
      </c>
      <c r="C11" s="153" t="s">
        <v>372</v>
      </c>
      <c r="D11" s="52">
        <f>SUM(D7:D10)</f>
        <v>33311</v>
      </c>
    </row>
    <row r="12" spans="1:10" ht="15" thickTop="1" x14ac:dyDescent="0.3"/>
    <row r="13" spans="1:10" x14ac:dyDescent="0.3">
      <c r="A13" s="190" t="s">
        <v>199</v>
      </c>
      <c r="B13" s="190"/>
      <c r="C13" s="190"/>
      <c r="D13" s="190"/>
    </row>
    <row r="14" spans="1:10" ht="15" thickBot="1" x14ac:dyDescent="0.35">
      <c r="A14" s="149" t="s">
        <v>108</v>
      </c>
      <c r="B14" s="151" t="str">
        <f>B6</f>
        <v>FY 2024-25</v>
      </c>
      <c r="C14" s="149" t="s">
        <v>111</v>
      </c>
      <c r="D14" s="151" t="str">
        <f>D6</f>
        <v>FY 2025-26</v>
      </c>
      <c r="E14"/>
    </row>
    <row r="15" spans="1:10" x14ac:dyDescent="0.3">
      <c r="A15" s="61">
        <v>1</v>
      </c>
      <c r="B15" s="63">
        <v>3400</v>
      </c>
      <c r="C15" s="62" t="s">
        <v>29</v>
      </c>
      <c r="D15" s="63">
        <v>3400</v>
      </c>
      <c r="E15"/>
    </row>
    <row r="16" spans="1:10" x14ac:dyDescent="0.3">
      <c r="A16" s="27">
        <v>2</v>
      </c>
      <c r="B16" s="30">
        <v>4561</v>
      </c>
      <c r="C16" s="29" t="s">
        <v>112</v>
      </c>
      <c r="D16" s="30">
        <f>Workings!D9</f>
        <v>4890</v>
      </c>
      <c r="E16"/>
    </row>
    <row r="17" spans="1:5" x14ac:dyDescent="0.3">
      <c r="A17" s="27">
        <v>3</v>
      </c>
      <c r="B17" s="30" t="s">
        <v>375</v>
      </c>
      <c r="C17" s="29" t="s">
        <v>364</v>
      </c>
      <c r="D17" s="30">
        <f>5000+8000</f>
        <v>13000</v>
      </c>
      <c r="E17"/>
    </row>
    <row r="18" spans="1:5" x14ac:dyDescent="0.3">
      <c r="A18" s="27">
        <v>4</v>
      </c>
      <c r="B18" s="30">
        <v>4080</v>
      </c>
      <c r="C18" s="29" t="s">
        <v>363</v>
      </c>
      <c r="D18" s="30">
        <f>4080*2</f>
        <v>8160</v>
      </c>
      <c r="E18"/>
    </row>
    <row r="19" spans="1:5" ht="15" thickBot="1" x14ac:dyDescent="0.35">
      <c r="A19" s="50"/>
      <c r="B19" s="52">
        <f>SUM(B15:B18)</f>
        <v>12041</v>
      </c>
      <c r="C19" s="153" t="s">
        <v>372</v>
      </c>
      <c r="D19" s="52">
        <f>SUM(D15:D18)</f>
        <v>29450</v>
      </c>
      <c r="E19"/>
    </row>
    <row r="20" spans="1:5" ht="15" thickTop="1" x14ac:dyDescent="0.3"/>
    <row r="21" spans="1:5" x14ac:dyDescent="0.3">
      <c r="A21" s="184" t="s">
        <v>115</v>
      </c>
      <c r="B21" s="184"/>
      <c r="C21" s="184"/>
      <c r="D21" s="184"/>
    </row>
    <row r="23" spans="1:5" ht="8.6999999999999993" customHeight="1" x14ac:dyDescent="0.3"/>
    <row r="24" spans="1:5" x14ac:dyDescent="0.3">
      <c r="A24" s="182" t="s">
        <v>200</v>
      </c>
      <c r="B24" s="182"/>
      <c r="C24" s="182"/>
      <c r="D24" s="182"/>
    </row>
    <row r="25" spans="1:5" ht="15" thickBot="1" x14ac:dyDescent="0.35">
      <c r="A25" s="149" t="s">
        <v>23</v>
      </c>
      <c r="B25" s="149" t="s">
        <v>117</v>
      </c>
      <c r="C25" s="149" t="s">
        <v>118</v>
      </c>
      <c r="D25" s="152" t="s">
        <v>24</v>
      </c>
    </row>
    <row r="26" spans="1:5" x14ac:dyDescent="0.3">
      <c r="A26" s="61">
        <v>1</v>
      </c>
      <c r="B26" s="61">
        <v>204</v>
      </c>
      <c r="C26" s="62" t="s">
        <v>116</v>
      </c>
      <c r="D26" s="63">
        <v>5828</v>
      </c>
    </row>
    <row r="27" spans="1:5" x14ac:dyDescent="0.3">
      <c r="A27" s="27">
        <v>2</v>
      </c>
      <c r="B27" s="27">
        <v>301</v>
      </c>
      <c r="C27" s="29" t="s">
        <v>205</v>
      </c>
      <c r="D27" s="30">
        <v>14477</v>
      </c>
    </row>
    <row r="28" spans="1:5" x14ac:dyDescent="0.3">
      <c r="A28" s="27">
        <v>3</v>
      </c>
      <c r="B28" s="27">
        <v>504</v>
      </c>
      <c r="C28" s="29" t="s">
        <v>206</v>
      </c>
      <c r="D28" s="30">
        <v>11287</v>
      </c>
    </row>
    <row r="29" spans="1:5" x14ac:dyDescent="0.3">
      <c r="A29" s="27">
        <v>4</v>
      </c>
      <c r="B29" s="27">
        <v>705</v>
      </c>
      <c r="C29" s="29" t="s">
        <v>163</v>
      </c>
      <c r="D29" s="30">
        <v>12376</v>
      </c>
    </row>
    <row r="30" spans="1:5" ht="15" thickBot="1" x14ac:dyDescent="0.35">
      <c r="A30" s="183" t="s">
        <v>372</v>
      </c>
      <c r="B30" s="183"/>
      <c r="C30" s="183"/>
      <c r="D30" s="52">
        <f>SUM(D26:D29)</f>
        <v>43968</v>
      </c>
    </row>
    <row r="31" spans="1:5" ht="15" thickTop="1" x14ac:dyDescent="0.3"/>
    <row r="33" spans="1:5" x14ac:dyDescent="0.3">
      <c r="A33" s="59" t="s">
        <v>121</v>
      </c>
      <c r="B33" s="28"/>
      <c r="E33"/>
    </row>
    <row r="34" spans="1:5" ht="10.95" customHeight="1" x14ac:dyDescent="0.3">
      <c r="A34"/>
      <c r="B34"/>
      <c r="E34"/>
    </row>
    <row r="35" spans="1:5" x14ac:dyDescent="0.3">
      <c r="A35" s="185" t="s">
        <v>201</v>
      </c>
      <c r="B35" s="186"/>
      <c r="C35" s="186"/>
      <c r="D35" s="187"/>
      <c r="E35" s="68"/>
    </row>
    <row r="36" spans="1:5" ht="15" thickBot="1" x14ac:dyDescent="0.35">
      <c r="A36" s="149" t="s">
        <v>108</v>
      </c>
      <c r="B36" s="151" t="s">
        <v>164</v>
      </c>
      <c r="C36" s="149" t="s">
        <v>122</v>
      </c>
      <c r="D36" s="151" t="s">
        <v>197</v>
      </c>
      <c r="E36" s="149" t="s">
        <v>123</v>
      </c>
    </row>
    <row r="37" spans="1:5" x14ac:dyDescent="0.3">
      <c r="A37" s="61">
        <v>1</v>
      </c>
      <c r="B37" s="148">
        <v>2844</v>
      </c>
      <c r="C37" s="62" t="s">
        <v>124</v>
      </c>
      <c r="D37" s="63">
        <v>0</v>
      </c>
      <c r="E37" s="62"/>
    </row>
    <row r="38" spans="1:5" x14ac:dyDescent="0.3">
      <c r="A38" s="27">
        <v>2</v>
      </c>
      <c r="B38" s="31">
        <v>24477</v>
      </c>
      <c r="C38" s="29" t="s">
        <v>125</v>
      </c>
      <c r="D38" s="30">
        <f>Workings!D33</f>
        <v>37113</v>
      </c>
      <c r="E38" s="29" t="s">
        <v>253</v>
      </c>
    </row>
    <row r="39" spans="1:5" x14ac:dyDescent="0.3">
      <c r="A39" s="27">
        <v>3</v>
      </c>
      <c r="B39" s="31">
        <v>8463</v>
      </c>
      <c r="C39" s="29" t="s">
        <v>126</v>
      </c>
      <c r="D39" s="30">
        <f>Workings!D27</f>
        <v>2269</v>
      </c>
      <c r="E39" s="29" t="s">
        <v>254</v>
      </c>
    </row>
    <row r="40" spans="1:5" x14ac:dyDescent="0.3">
      <c r="A40" s="27">
        <v>4</v>
      </c>
      <c r="B40" s="31">
        <v>3952</v>
      </c>
      <c r="C40" s="29" t="s">
        <v>127</v>
      </c>
      <c r="D40" s="30">
        <f>Workings!D21</f>
        <v>3373</v>
      </c>
      <c r="E40" s="29" t="s">
        <v>361</v>
      </c>
    </row>
    <row r="41" spans="1:5" x14ac:dyDescent="0.3">
      <c r="A41" s="27">
        <v>5</v>
      </c>
      <c r="B41" s="31">
        <v>79958</v>
      </c>
      <c r="C41" s="29" t="s">
        <v>128</v>
      </c>
      <c r="D41" s="30">
        <f>Workings!D15</f>
        <v>93949</v>
      </c>
      <c r="E41" s="29" t="s">
        <v>255</v>
      </c>
    </row>
    <row r="42" spans="1:5" x14ac:dyDescent="0.3">
      <c r="A42" s="27">
        <v>6</v>
      </c>
      <c r="B42" s="31">
        <v>15251</v>
      </c>
      <c r="C42" s="29" t="s">
        <v>129</v>
      </c>
      <c r="D42" s="30">
        <f>Workings!D45</f>
        <v>16741</v>
      </c>
      <c r="E42" s="29" t="s">
        <v>256</v>
      </c>
    </row>
    <row r="43" spans="1:5" x14ac:dyDescent="0.3">
      <c r="A43" s="27">
        <v>7</v>
      </c>
      <c r="B43" s="31">
        <v>4098</v>
      </c>
      <c r="C43" s="29" t="s">
        <v>130</v>
      </c>
      <c r="D43" s="30">
        <f>Workings!D39</f>
        <v>3498</v>
      </c>
      <c r="E43" s="29" t="s">
        <v>361</v>
      </c>
    </row>
    <row r="44" spans="1:5" ht="15" thickBot="1" x14ac:dyDescent="0.35">
      <c r="A44" s="50"/>
      <c r="B44" s="51">
        <f>SUM(B37:B43)</f>
        <v>139043</v>
      </c>
      <c r="C44" s="153" t="s">
        <v>372</v>
      </c>
      <c r="D44" s="52">
        <f>SUM(D37:D43)</f>
        <v>156943</v>
      </c>
    </row>
    <row r="45" spans="1:5" ht="15" thickTop="1" x14ac:dyDescent="0.3"/>
  </sheetData>
  <mergeCells count="9">
    <mergeCell ref="A24:D24"/>
    <mergeCell ref="A30:C30"/>
    <mergeCell ref="A21:D21"/>
    <mergeCell ref="A35:D35"/>
    <mergeCell ref="A1:D1"/>
    <mergeCell ref="A2:D2"/>
    <mergeCell ref="A5:D5"/>
    <mergeCell ref="A3:D3"/>
    <mergeCell ref="A13:D13"/>
  </mergeCells>
  <printOptions horizontalCentered="1"/>
  <pageMargins left="0.31496062992125984" right="0.31496062992125984" top="0.39370078740157483" bottom="0.19685039370078741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4"/>
  <sheetViews>
    <sheetView tabSelected="1" workbookViewId="0">
      <selection activeCell="H19" sqref="H19"/>
    </sheetView>
  </sheetViews>
  <sheetFormatPr defaultRowHeight="14.4" x14ac:dyDescent="0.3"/>
  <cols>
    <col min="1" max="1" width="2.6640625" customWidth="1"/>
    <col min="2" max="2" width="4.6640625" customWidth="1"/>
    <col min="3" max="3" width="43.6640625" customWidth="1"/>
    <col min="4" max="4" width="14" style="2" customWidth="1"/>
    <col min="6" max="6" width="5.5546875" bestFit="1" customWidth="1"/>
    <col min="7" max="7" width="11.33203125" bestFit="1" customWidth="1"/>
    <col min="8" max="8" width="25.5546875" bestFit="1" customWidth="1"/>
    <col min="9" max="9" width="7.6640625" bestFit="1" customWidth="1"/>
    <col min="10" max="10" width="6.6640625" bestFit="1" customWidth="1"/>
    <col min="11" max="11" width="6.44140625" style="2" bestFit="1" customWidth="1"/>
    <col min="12" max="12" width="10.6640625" style="2" bestFit="1" customWidth="1"/>
  </cols>
  <sheetData>
    <row r="2" spans="2:13" x14ac:dyDescent="0.3">
      <c r="B2" s="192" t="s">
        <v>28</v>
      </c>
      <c r="C2" s="192"/>
      <c r="D2" s="192"/>
    </row>
    <row r="3" spans="2:13" ht="28.8" x14ac:dyDescent="0.3">
      <c r="F3" s="66" t="s">
        <v>208</v>
      </c>
      <c r="G3" s="66" t="s">
        <v>138</v>
      </c>
      <c r="H3" s="66" t="s">
        <v>117</v>
      </c>
      <c r="I3" s="66" t="s">
        <v>209</v>
      </c>
      <c r="J3" s="67" t="s">
        <v>135</v>
      </c>
      <c r="K3" s="67" t="s">
        <v>136</v>
      </c>
      <c r="L3" s="66" t="s">
        <v>139</v>
      </c>
    </row>
    <row r="4" spans="2:13" x14ac:dyDescent="0.3">
      <c r="B4" s="193" t="s">
        <v>202</v>
      </c>
      <c r="C4" s="193"/>
      <c r="D4" s="193"/>
      <c r="F4" s="27">
        <v>1</v>
      </c>
      <c r="G4" s="32">
        <v>46084</v>
      </c>
      <c r="H4" s="29" t="s">
        <v>210</v>
      </c>
      <c r="I4" s="29">
        <v>948491</v>
      </c>
      <c r="J4" s="29">
        <v>0</v>
      </c>
      <c r="K4" s="29">
        <v>5000</v>
      </c>
      <c r="L4" s="29"/>
    </row>
    <row r="5" spans="2:13" x14ac:dyDescent="0.3">
      <c r="D5" s="9" t="s">
        <v>24</v>
      </c>
      <c r="F5" s="27">
        <v>2</v>
      </c>
      <c r="G5" s="32">
        <v>46105</v>
      </c>
      <c r="H5" s="29" t="s">
        <v>211</v>
      </c>
      <c r="I5" s="29">
        <v>948498</v>
      </c>
      <c r="J5" s="29">
        <v>0</v>
      </c>
      <c r="K5" s="29">
        <v>5000</v>
      </c>
      <c r="L5" s="32">
        <v>46117</v>
      </c>
    </row>
    <row r="6" spans="2:13" x14ac:dyDescent="0.3">
      <c r="B6" t="s">
        <v>25</v>
      </c>
      <c r="D6" s="2">
        <v>89069.55</v>
      </c>
      <c r="F6" s="27">
        <v>3</v>
      </c>
      <c r="G6" s="32">
        <v>46109</v>
      </c>
      <c r="H6" s="29" t="s">
        <v>212</v>
      </c>
      <c r="I6" s="29">
        <v>948503</v>
      </c>
      <c r="J6" s="29">
        <v>0</v>
      </c>
      <c r="K6" s="29">
        <v>3300</v>
      </c>
      <c r="L6" s="32">
        <v>46119</v>
      </c>
    </row>
    <row r="7" spans="2:13" x14ac:dyDescent="0.3">
      <c r="F7" s="27">
        <v>4</v>
      </c>
      <c r="G7" s="32">
        <v>46109</v>
      </c>
      <c r="H7" s="29" t="s">
        <v>137</v>
      </c>
      <c r="I7" s="29">
        <v>948501</v>
      </c>
      <c r="J7" s="29">
        <v>0</v>
      </c>
      <c r="K7" s="29">
        <v>34650</v>
      </c>
      <c r="L7" s="32">
        <v>46116</v>
      </c>
    </row>
    <row r="8" spans="2:13" x14ac:dyDescent="0.3">
      <c r="B8" t="s">
        <v>27</v>
      </c>
      <c r="C8" t="s">
        <v>166</v>
      </c>
      <c r="D8" s="2">
        <f>K12</f>
        <v>75303</v>
      </c>
      <c r="F8" s="27">
        <v>5</v>
      </c>
      <c r="G8" s="32">
        <v>46109</v>
      </c>
      <c r="H8" s="29" t="s">
        <v>167</v>
      </c>
      <c r="I8" s="29">
        <v>948502</v>
      </c>
      <c r="J8" s="29">
        <v>0</v>
      </c>
      <c r="K8" s="29">
        <v>8000</v>
      </c>
      <c r="L8" s="32">
        <v>46115</v>
      </c>
      <c r="M8" s="48"/>
    </row>
    <row r="9" spans="2:13" x14ac:dyDescent="0.3">
      <c r="E9" s="4"/>
      <c r="F9" s="27">
        <v>6</v>
      </c>
      <c r="G9" s="32">
        <v>46109</v>
      </c>
      <c r="H9" s="29" t="s">
        <v>213</v>
      </c>
      <c r="I9" s="29">
        <v>948504</v>
      </c>
      <c r="J9" s="29">
        <v>0</v>
      </c>
      <c r="K9" s="29">
        <v>10000</v>
      </c>
      <c r="L9" s="32">
        <v>46114</v>
      </c>
    </row>
    <row r="10" spans="2:13" x14ac:dyDescent="0.3">
      <c r="B10" t="s">
        <v>146</v>
      </c>
      <c r="C10" t="s">
        <v>165</v>
      </c>
      <c r="D10" s="2">
        <f>-J12</f>
        <v>0</v>
      </c>
      <c r="F10" s="27">
        <v>7</v>
      </c>
      <c r="G10" s="32">
        <v>46109</v>
      </c>
      <c r="H10" s="29" t="s">
        <v>214</v>
      </c>
      <c r="I10" s="29">
        <v>948505</v>
      </c>
      <c r="J10" s="29">
        <v>0</v>
      </c>
      <c r="K10" s="29">
        <v>353</v>
      </c>
      <c r="L10" s="32">
        <v>46119</v>
      </c>
    </row>
    <row r="11" spans="2:13" x14ac:dyDescent="0.3">
      <c r="F11" s="27">
        <v>8</v>
      </c>
      <c r="G11" s="32">
        <v>46110</v>
      </c>
      <c r="H11" s="29" t="s">
        <v>215</v>
      </c>
      <c r="I11" s="29">
        <v>948500</v>
      </c>
      <c r="J11" s="29">
        <v>0</v>
      </c>
      <c r="K11" s="29">
        <v>9000</v>
      </c>
      <c r="L11" s="32">
        <v>46132</v>
      </c>
    </row>
    <row r="12" spans="2:13" ht="15" thickBot="1" x14ac:dyDescent="0.35">
      <c r="B12" s="8" t="s">
        <v>26</v>
      </c>
      <c r="C12" s="8"/>
      <c r="D12" s="3">
        <f>SUM(D6:D11)</f>
        <v>164372.54999999999</v>
      </c>
      <c r="F12" s="47"/>
      <c r="G12" s="8"/>
      <c r="H12" s="8"/>
      <c r="I12" s="49"/>
      <c r="J12" s="45">
        <f>SUM(J4:J11)</f>
        <v>0</v>
      </c>
      <c r="K12" s="68">
        <f>SUM(K4:K11)</f>
        <v>75303</v>
      </c>
      <c r="L12" s="46"/>
    </row>
    <row r="13" spans="2:13" ht="15" thickTop="1" x14ac:dyDescent="0.3"/>
    <row r="14" spans="2:13" x14ac:dyDescent="0.3">
      <c r="B14" s="193" t="s">
        <v>207</v>
      </c>
      <c r="C14" s="193"/>
      <c r="D14" s="193"/>
    </row>
    <row r="15" spans="2:13" x14ac:dyDescent="0.3">
      <c r="D15" s="9" t="s">
        <v>24</v>
      </c>
    </row>
    <row r="16" spans="2:13" x14ac:dyDescent="0.3">
      <c r="B16" t="s">
        <v>25</v>
      </c>
      <c r="D16" s="2">
        <v>12373.19</v>
      </c>
    </row>
    <row r="18" spans="2:4" ht="14.7" customHeight="1" x14ac:dyDescent="0.3">
      <c r="B18" t="s">
        <v>27</v>
      </c>
      <c r="C18" t="s">
        <v>134</v>
      </c>
      <c r="D18" s="2">
        <f>K22</f>
        <v>0</v>
      </c>
    </row>
    <row r="20" spans="2:4" x14ac:dyDescent="0.3">
      <c r="B20" t="s">
        <v>146</v>
      </c>
      <c r="C20" t="s">
        <v>165</v>
      </c>
      <c r="D20" s="2">
        <f>-J22</f>
        <v>0</v>
      </c>
    </row>
    <row r="23" spans="2:4" ht="15" thickBot="1" x14ac:dyDescent="0.35">
      <c r="B23" s="8" t="s">
        <v>26</v>
      </c>
      <c r="C23" s="8"/>
      <c r="D23" s="3">
        <f>+D16+D18</f>
        <v>12373.19</v>
      </c>
    </row>
    <row r="24" spans="2:4" ht="15" thickTop="1" x14ac:dyDescent="0.3"/>
  </sheetData>
  <mergeCells count="3">
    <mergeCell ref="B2:D2"/>
    <mergeCell ref="B4:D4"/>
    <mergeCell ref="B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7"/>
  <sheetViews>
    <sheetView workbookViewId="0">
      <selection activeCell="C1" sqref="C1"/>
    </sheetView>
  </sheetViews>
  <sheetFormatPr defaultRowHeight="14.4" x14ac:dyDescent="0.3"/>
  <cols>
    <col min="1" max="1" width="12.44140625" customWidth="1"/>
    <col min="2" max="2" width="10.6640625" bestFit="1" customWidth="1"/>
    <col min="3" max="3" width="10.33203125" style="65" bestFit="1" customWidth="1"/>
    <col min="4" max="4" width="11.5546875" style="5" bestFit="1" customWidth="1"/>
    <col min="5" max="5" width="8.6640625" style="2"/>
    <col min="7" max="8" width="10.33203125" bestFit="1" customWidth="1"/>
    <col min="9" max="9" width="23.33203125" bestFit="1" customWidth="1"/>
  </cols>
  <sheetData>
    <row r="1" spans="1:11" x14ac:dyDescent="0.3">
      <c r="A1" s="25" t="s">
        <v>73</v>
      </c>
    </row>
    <row r="2" spans="1:11" x14ac:dyDescent="0.3">
      <c r="A2" s="24">
        <v>45723</v>
      </c>
      <c r="B2" s="24">
        <v>45813</v>
      </c>
      <c r="C2" s="5">
        <f>B2-A2</f>
        <v>90</v>
      </c>
      <c r="D2" s="5">
        <v>17105</v>
      </c>
      <c r="G2" s="24"/>
      <c r="H2" s="24"/>
      <c r="I2" s="2" t="s">
        <v>169</v>
      </c>
      <c r="J2">
        <v>90</v>
      </c>
      <c r="K2">
        <v>17105</v>
      </c>
    </row>
    <row r="3" spans="1:11" x14ac:dyDescent="0.3">
      <c r="A3" s="24">
        <v>45723</v>
      </c>
      <c r="B3" s="24">
        <v>45747</v>
      </c>
      <c r="C3" s="33">
        <f>B3-A3</f>
        <v>24</v>
      </c>
      <c r="D3" s="33">
        <f>ROUND(C3*D2/C2,0)</f>
        <v>4561</v>
      </c>
      <c r="I3" t="s">
        <v>170</v>
      </c>
      <c r="J3">
        <v>24</v>
      </c>
      <c r="K3">
        <f>ROUND(J3*K2/J2,0)</f>
        <v>4561</v>
      </c>
    </row>
    <row r="4" spans="1:11" x14ac:dyDescent="0.3">
      <c r="A4" s="24">
        <v>45748</v>
      </c>
      <c r="B4" s="24">
        <v>45813</v>
      </c>
      <c r="C4" s="5">
        <f>C2-C3</f>
        <v>66</v>
      </c>
      <c r="D4" s="5">
        <f>D2-D3</f>
        <v>12544</v>
      </c>
    </row>
    <row r="5" spans="1:11" x14ac:dyDescent="0.3">
      <c r="A5" s="24">
        <f>B4</f>
        <v>45813</v>
      </c>
      <c r="B5" s="24">
        <v>45904</v>
      </c>
      <c r="C5" s="5">
        <f>B5-A5</f>
        <v>91</v>
      </c>
      <c r="D5" s="5">
        <v>17029</v>
      </c>
    </row>
    <row r="6" spans="1:11" x14ac:dyDescent="0.3">
      <c r="A6" s="24">
        <f>B5</f>
        <v>45904</v>
      </c>
      <c r="B6" s="24">
        <v>45995</v>
      </c>
      <c r="C6" s="5">
        <f>B6-A6</f>
        <v>91</v>
      </c>
      <c r="D6" s="5">
        <v>17126</v>
      </c>
    </row>
    <row r="7" spans="1:11" x14ac:dyDescent="0.3">
      <c r="A7" s="24">
        <f>B6</f>
        <v>45995</v>
      </c>
      <c r="B7" s="24">
        <v>46086</v>
      </c>
      <c r="C7" s="33">
        <f>B7-A7</f>
        <v>91</v>
      </c>
      <c r="D7" s="33">
        <v>17061</v>
      </c>
    </row>
    <row r="8" spans="1:11" x14ac:dyDescent="0.3">
      <c r="A8" s="24"/>
      <c r="B8" s="24"/>
      <c r="C8" s="5">
        <f>C4+C5+C6+C7</f>
        <v>339</v>
      </c>
      <c r="D8" s="5">
        <f>D4+D5+D6+D7</f>
        <v>63760</v>
      </c>
    </row>
    <row r="9" spans="1:11" x14ac:dyDescent="0.3">
      <c r="A9" s="24">
        <f>B7</f>
        <v>46086</v>
      </c>
      <c r="B9" s="24">
        <v>46112</v>
      </c>
      <c r="C9" s="33">
        <f>B9-A9</f>
        <v>26</v>
      </c>
      <c r="D9" s="33">
        <f>ROUND(C9*D8/C8,0)</f>
        <v>4890</v>
      </c>
      <c r="E9" s="2" t="s">
        <v>150</v>
      </c>
    </row>
    <row r="10" spans="1:11" x14ac:dyDescent="0.3">
      <c r="A10" s="24"/>
      <c r="B10" s="24"/>
      <c r="C10" s="5">
        <f>C8+C9</f>
        <v>365</v>
      </c>
      <c r="D10" s="64">
        <f>D8+D9</f>
        <v>68650</v>
      </c>
    </row>
    <row r="11" spans="1:11" x14ac:dyDescent="0.3">
      <c r="A11" s="24"/>
      <c r="B11" s="24"/>
      <c r="C11" s="5"/>
    </row>
    <row r="12" spans="1:11" x14ac:dyDescent="0.3">
      <c r="A12" s="25" t="s">
        <v>151</v>
      </c>
    </row>
    <row r="13" spans="1:11" x14ac:dyDescent="0.3">
      <c r="A13" s="24">
        <v>45748</v>
      </c>
      <c r="B13" s="24">
        <v>46022</v>
      </c>
      <c r="C13" s="5">
        <f>B13-A13+1</f>
        <v>275</v>
      </c>
      <c r="D13" s="5">
        <v>89069</v>
      </c>
    </row>
    <row r="14" spans="1:11" x14ac:dyDescent="0.3">
      <c r="A14" s="24">
        <v>46023</v>
      </c>
      <c r="B14" s="24">
        <v>46387</v>
      </c>
      <c r="C14" s="5">
        <f>B14-A14+1</f>
        <v>365</v>
      </c>
      <c r="D14" s="5">
        <v>124696</v>
      </c>
    </row>
    <row r="15" spans="1:11" x14ac:dyDescent="0.3">
      <c r="A15" s="24">
        <v>46113</v>
      </c>
      <c r="B15" s="24">
        <v>46387</v>
      </c>
      <c r="C15" s="5">
        <f>B15-A15+1</f>
        <v>275</v>
      </c>
      <c r="D15" s="33">
        <f>ROUND(C15*D14/C14,0)</f>
        <v>93949</v>
      </c>
      <c r="E15" s="2" t="s">
        <v>152</v>
      </c>
    </row>
    <row r="16" spans="1:11" x14ac:dyDescent="0.3">
      <c r="A16" s="24">
        <v>45748</v>
      </c>
      <c r="B16" s="24">
        <v>46112</v>
      </c>
      <c r="C16" s="5">
        <f>C13+C14-C15</f>
        <v>365</v>
      </c>
      <c r="D16" s="64">
        <f>D13+D14-D15</f>
        <v>119816</v>
      </c>
    </row>
    <row r="18" spans="1:5" x14ac:dyDescent="0.3">
      <c r="A18" s="25" t="s">
        <v>153</v>
      </c>
    </row>
    <row r="19" spans="1:5" x14ac:dyDescent="0.3">
      <c r="A19" s="24">
        <v>45748</v>
      </c>
      <c r="B19" s="24">
        <v>45975</v>
      </c>
      <c r="C19" s="5">
        <f>B19-A19+1</f>
        <v>228</v>
      </c>
      <c r="D19" s="5">
        <v>3980</v>
      </c>
    </row>
    <row r="20" spans="1:5" x14ac:dyDescent="0.3">
      <c r="A20" s="24">
        <v>45976</v>
      </c>
      <c r="B20" s="24">
        <v>46340</v>
      </c>
      <c r="C20" s="5">
        <f>B20-A20+1</f>
        <v>365</v>
      </c>
      <c r="D20" s="5">
        <v>5400</v>
      </c>
    </row>
    <row r="21" spans="1:5" x14ac:dyDescent="0.3">
      <c r="A21" s="24">
        <v>46113</v>
      </c>
      <c r="B21" s="24">
        <v>46340</v>
      </c>
      <c r="C21" s="5">
        <f>B21-A21+1</f>
        <v>228</v>
      </c>
      <c r="D21" s="33">
        <f>ROUND(C21*D20/C20,0)</f>
        <v>3373</v>
      </c>
      <c r="E21" s="2" t="s">
        <v>152</v>
      </c>
    </row>
    <row r="22" spans="1:5" x14ac:dyDescent="0.3">
      <c r="A22" s="24">
        <v>45748</v>
      </c>
      <c r="B22" s="24">
        <v>46112</v>
      </c>
      <c r="C22" s="5">
        <f>C19+C20-C21</f>
        <v>365</v>
      </c>
      <c r="D22" s="64">
        <f>D19+D20-D21</f>
        <v>6007</v>
      </c>
    </row>
    <row r="24" spans="1:5" x14ac:dyDescent="0.3">
      <c r="A24" s="25" t="s">
        <v>154</v>
      </c>
    </row>
    <row r="25" spans="1:5" x14ac:dyDescent="0.3">
      <c r="A25" s="24">
        <v>45748</v>
      </c>
      <c r="B25" s="24">
        <v>45775</v>
      </c>
      <c r="C25" s="5">
        <f>B25-A25+1</f>
        <v>28</v>
      </c>
      <c r="D25" s="5">
        <v>2263</v>
      </c>
    </row>
    <row r="26" spans="1:5" x14ac:dyDescent="0.3">
      <c r="A26" s="24">
        <v>45959</v>
      </c>
      <c r="B26" s="24">
        <v>46140</v>
      </c>
      <c r="C26" s="5">
        <f>B26-A26+1</f>
        <v>182</v>
      </c>
      <c r="D26" s="5">
        <v>14750</v>
      </c>
    </row>
    <row r="27" spans="1:5" x14ac:dyDescent="0.3">
      <c r="A27" s="24">
        <v>46113</v>
      </c>
      <c r="B27" s="24">
        <v>46140</v>
      </c>
      <c r="C27" s="5">
        <f>B27-A27+1</f>
        <v>28</v>
      </c>
      <c r="D27" s="33">
        <f>ROUND(C27*D26/C26,0)</f>
        <v>2269</v>
      </c>
      <c r="E27" s="2" t="s">
        <v>152</v>
      </c>
    </row>
    <row r="28" spans="1:5" x14ac:dyDescent="0.3">
      <c r="A28" s="24">
        <v>45748</v>
      </c>
      <c r="B28" s="24">
        <v>46112</v>
      </c>
      <c r="C28" s="5">
        <f>C25+C26-C27</f>
        <v>182</v>
      </c>
      <c r="D28" s="64">
        <f>D25+D26-D27</f>
        <v>14744</v>
      </c>
    </row>
    <row r="30" spans="1:5" x14ac:dyDescent="0.3">
      <c r="A30" s="25" t="s">
        <v>155</v>
      </c>
    </row>
    <row r="31" spans="1:5" x14ac:dyDescent="0.3">
      <c r="A31" s="24">
        <v>45748</v>
      </c>
      <c r="B31" s="24">
        <v>45925</v>
      </c>
      <c r="C31" s="5">
        <f>B31-A31+1</f>
        <v>178</v>
      </c>
      <c r="D31" s="5">
        <v>35347</v>
      </c>
    </row>
    <row r="32" spans="1:5" x14ac:dyDescent="0.3">
      <c r="A32" s="24">
        <v>45926</v>
      </c>
      <c r="B32" s="24">
        <v>46290</v>
      </c>
      <c r="C32" s="5">
        <f>B32-A32+1</f>
        <v>365</v>
      </c>
      <c r="D32" s="5">
        <v>76102</v>
      </c>
    </row>
    <row r="33" spans="1:8" x14ac:dyDescent="0.3">
      <c r="A33" s="24">
        <v>46113</v>
      </c>
      <c r="B33" s="24">
        <v>46290</v>
      </c>
      <c r="C33" s="5">
        <f>B33-A33+1</f>
        <v>178</v>
      </c>
      <c r="D33" s="33">
        <f>ROUND(C33*D32/C32,0)</f>
        <v>37113</v>
      </c>
      <c r="E33" s="2" t="s">
        <v>152</v>
      </c>
    </row>
    <row r="34" spans="1:8" x14ac:dyDescent="0.3">
      <c r="A34" s="24">
        <v>45748</v>
      </c>
      <c r="B34" s="24">
        <v>46112</v>
      </c>
      <c r="C34" s="5">
        <f>C31+C32-C33</f>
        <v>365</v>
      </c>
      <c r="D34" s="64">
        <f>D31+D32-D33</f>
        <v>74336</v>
      </c>
    </row>
    <row r="36" spans="1:8" x14ac:dyDescent="0.3">
      <c r="A36" s="25" t="s">
        <v>156</v>
      </c>
    </row>
    <row r="37" spans="1:8" x14ac:dyDescent="0.3">
      <c r="A37" s="24">
        <v>45748</v>
      </c>
      <c r="B37" s="24">
        <v>45975</v>
      </c>
      <c r="C37" s="5">
        <f>B37-A37+1</f>
        <v>228</v>
      </c>
      <c r="D37" s="5">
        <v>4128</v>
      </c>
    </row>
    <row r="38" spans="1:8" x14ac:dyDescent="0.3">
      <c r="A38" s="24">
        <v>45976</v>
      </c>
      <c r="B38" s="24">
        <v>46340</v>
      </c>
      <c r="C38" s="5">
        <f>B38-A38+1</f>
        <v>365</v>
      </c>
      <c r="D38" s="5">
        <f>5600</f>
        <v>5600</v>
      </c>
    </row>
    <row r="39" spans="1:8" x14ac:dyDescent="0.3">
      <c r="A39" s="24">
        <v>46113</v>
      </c>
      <c r="B39" s="24">
        <v>46340</v>
      </c>
      <c r="C39" s="5">
        <f>B39-A39+1</f>
        <v>228</v>
      </c>
      <c r="D39" s="33">
        <f>ROUND(C39*D38/C38,0)</f>
        <v>3498</v>
      </c>
      <c r="E39" s="2" t="s">
        <v>152</v>
      </c>
      <c r="G39" s="65"/>
      <c r="H39" s="65"/>
    </row>
    <row r="40" spans="1:8" x14ac:dyDescent="0.3">
      <c r="A40" s="24">
        <v>45748</v>
      </c>
      <c r="B40" s="24">
        <v>46112</v>
      </c>
      <c r="C40" s="5">
        <f>C37+C38-C39</f>
        <v>365</v>
      </c>
      <c r="D40" s="64">
        <f>D37+D38-D39</f>
        <v>6230</v>
      </c>
    </row>
    <row r="42" spans="1:8" x14ac:dyDescent="0.3">
      <c r="A42" s="25" t="s">
        <v>157</v>
      </c>
    </row>
    <row r="43" spans="1:8" x14ac:dyDescent="0.3">
      <c r="A43" s="24">
        <v>45748</v>
      </c>
      <c r="B43" s="24">
        <v>46050</v>
      </c>
      <c r="C43" s="5">
        <f>B43-A43+1</f>
        <v>303</v>
      </c>
      <c r="D43" s="5">
        <v>16311</v>
      </c>
    </row>
    <row r="44" spans="1:8" x14ac:dyDescent="0.3">
      <c r="A44" s="24">
        <v>46059</v>
      </c>
      <c r="B44" s="24">
        <v>46423</v>
      </c>
      <c r="C44" s="5">
        <f>B44-A44+1</f>
        <v>365</v>
      </c>
      <c r="D44" s="5">
        <v>19648</v>
      </c>
    </row>
    <row r="45" spans="1:8" x14ac:dyDescent="0.3">
      <c r="A45" s="24">
        <v>46113</v>
      </c>
      <c r="B45" s="24">
        <v>46423</v>
      </c>
      <c r="C45" s="5">
        <f>B45-A45+1</f>
        <v>311</v>
      </c>
      <c r="D45" s="33">
        <f>ROUND(C45*D44/C44,0)</f>
        <v>16741</v>
      </c>
      <c r="E45" s="2" t="s">
        <v>152</v>
      </c>
    </row>
    <row r="46" spans="1:8" x14ac:dyDescent="0.3">
      <c r="A46" s="24">
        <v>46059</v>
      </c>
      <c r="B46" s="24">
        <v>46112</v>
      </c>
      <c r="C46" s="5">
        <f>C44-C45</f>
        <v>54</v>
      </c>
      <c r="D46" s="64">
        <f>D44-D45</f>
        <v>2907</v>
      </c>
    </row>
    <row r="47" spans="1:8" x14ac:dyDescent="0.3">
      <c r="A47" s="24">
        <v>45748</v>
      </c>
      <c r="B47" s="24">
        <v>46112</v>
      </c>
      <c r="C47" s="65">
        <f>C43+C46</f>
        <v>357</v>
      </c>
      <c r="D47" s="65">
        <f>D43+D46</f>
        <v>19218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topLeftCell="C1" workbookViewId="0">
      <selection activeCell="K5" sqref="K5"/>
    </sheetView>
  </sheetViews>
  <sheetFormatPr defaultRowHeight="14.4" x14ac:dyDescent="0.3"/>
  <cols>
    <col min="1" max="1" width="15.33203125" bestFit="1" customWidth="1"/>
    <col min="2" max="2" width="28.6640625" bestFit="1" customWidth="1"/>
    <col min="3" max="3" width="77.109375" bestFit="1" customWidth="1"/>
    <col min="4" max="4" width="11.88671875" bestFit="1" customWidth="1"/>
    <col min="5" max="5" width="5.44140625" bestFit="1" customWidth="1"/>
    <col min="6" max="6" width="7.109375" bestFit="1" customWidth="1"/>
    <col min="8" max="8" width="13.109375" bestFit="1" customWidth="1"/>
    <col min="9" max="9" width="16.33203125" bestFit="1" customWidth="1"/>
    <col min="10" max="10" width="6.88671875" bestFit="1" customWidth="1"/>
    <col min="11" max="11" width="11.33203125" bestFit="1" customWidth="1"/>
    <col min="12" max="12" width="6" bestFit="1" customWidth="1"/>
    <col min="13" max="13" width="5" bestFit="1" customWidth="1"/>
    <col min="14" max="14" width="4.33203125" bestFit="1" customWidth="1"/>
    <col min="15" max="15" width="6" bestFit="1" customWidth="1"/>
    <col min="16" max="17" width="11.33203125" bestFit="1" customWidth="1"/>
    <col min="18" max="18" width="5.5546875" bestFit="1" customWidth="1"/>
    <col min="19" max="19" width="9.109375" bestFit="1" customWidth="1"/>
    <col min="20" max="22" width="6.5546875" bestFit="1" customWidth="1"/>
    <col min="23" max="23" width="5.5546875" bestFit="1" customWidth="1"/>
    <col min="24" max="25" width="6.5546875" bestFit="1" customWidth="1"/>
    <col min="26" max="27" width="8.109375" bestFit="1" customWidth="1"/>
    <col min="28" max="28" width="6.5546875" bestFit="1" customWidth="1"/>
    <col min="29" max="32" width="8.109375" bestFit="1" customWidth="1"/>
    <col min="33" max="33" width="6.5546875" bestFit="1" customWidth="1"/>
    <col min="34" max="34" width="5.5546875" bestFit="1" customWidth="1"/>
    <col min="35" max="36" width="8.109375" bestFit="1" customWidth="1"/>
    <col min="37" max="37" width="6.5546875" bestFit="1" customWidth="1"/>
    <col min="38" max="38" width="8.109375" bestFit="1" customWidth="1"/>
    <col min="39" max="39" width="6.5546875" bestFit="1" customWidth="1"/>
    <col min="40" max="40" width="11.33203125" bestFit="1" customWidth="1"/>
  </cols>
  <sheetData>
    <row r="1" spans="1:11" x14ac:dyDescent="0.3">
      <c r="A1" s="193" t="s">
        <v>263</v>
      </c>
      <c r="B1" s="194"/>
      <c r="C1" s="194"/>
      <c r="D1" s="194"/>
      <c r="E1" s="194"/>
    </row>
    <row r="2" spans="1:11" x14ac:dyDescent="0.3">
      <c r="A2" s="72" t="s">
        <v>264</v>
      </c>
      <c r="B2" s="72" t="s">
        <v>138</v>
      </c>
      <c r="C2" s="72" t="s">
        <v>265</v>
      </c>
      <c r="D2" s="72" t="s">
        <v>136</v>
      </c>
      <c r="E2" s="72" t="s">
        <v>356</v>
      </c>
      <c r="F2" s="72" t="s">
        <v>5</v>
      </c>
    </row>
    <row r="3" spans="1:11" x14ac:dyDescent="0.3">
      <c r="A3" t="s">
        <v>266</v>
      </c>
      <c r="B3" t="s">
        <v>267</v>
      </c>
      <c r="C3" t="s">
        <v>268</v>
      </c>
      <c r="D3" s="74">
        <v>2351</v>
      </c>
      <c r="E3" t="s">
        <v>352</v>
      </c>
      <c r="F3" t="s">
        <v>86</v>
      </c>
      <c r="H3" s="75" t="s">
        <v>360</v>
      </c>
      <c r="I3" s="75" t="s">
        <v>359</v>
      </c>
    </row>
    <row r="4" spans="1:11" x14ac:dyDescent="0.3">
      <c r="A4" t="s">
        <v>269</v>
      </c>
      <c r="B4" t="s">
        <v>270</v>
      </c>
      <c r="C4" t="s">
        <v>271</v>
      </c>
      <c r="D4" s="74">
        <v>20233</v>
      </c>
      <c r="E4" t="s">
        <v>349</v>
      </c>
      <c r="F4" t="s">
        <v>244</v>
      </c>
      <c r="H4" s="75" t="s">
        <v>357</v>
      </c>
      <c r="I4" t="s">
        <v>86</v>
      </c>
      <c r="J4" t="s">
        <v>244</v>
      </c>
      <c r="K4" t="s">
        <v>358</v>
      </c>
    </row>
    <row r="5" spans="1:11" x14ac:dyDescent="0.3">
      <c r="A5" t="s">
        <v>272</v>
      </c>
      <c r="B5" t="s">
        <v>273</v>
      </c>
      <c r="C5" t="s">
        <v>274</v>
      </c>
      <c r="D5" s="74">
        <v>3114</v>
      </c>
      <c r="E5" t="s">
        <v>352</v>
      </c>
      <c r="F5" t="s">
        <v>86</v>
      </c>
      <c r="H5" s="1" t="s">
        <v>354</v>
      </c>
      <c r="I5">
        <v>546</v>
      </c>
      <c r="J5">
        <v>27</v>
      </c>
      <c r="K5">
        <v>573</v>
      </c>
    </row>
    <row r="6" spans="1:11" x14ac:dyDescent="0.3">
      <c r="A6" t="s">
        <v>275</v>
      </c>
      <c r="B6" t="s">
        <v>276</v>
      </c>
      <c r="C6" t="s">
        <v>277</v>
      </c>
      <c r="D6" s="74">
        <v>5180</v>
      </c>
      <c r="E6" t="s">
        <v>352</v>
      </c>
      <c r="F6" t="s">
        <v>244</v>
      </c>
      <c r="H6" s="1" t="s">
        <v>351</v>
      </c>
      <c r="I6">
        <v>8465</v>
      </c>
      <c r="J6">
        <v>1008</v>
      </c>
      <c r="K6">
        <v>9473</v>
      </c>
    </row>
    <row r="7" spans="1:11" x14ac:dyDescent="0.3">
      <c r="A7" t="s">
        <v>278</v>
      </c>
      <c r="B7" t="s">
        <v>279</v>
      </c>
      <c r="C7" t="s">
        <v>280</v>
      </c>
      <c r="D7" s="73">
        <v>433</v>
      </c>
      <c r="E7" t="s">
        <v>353</v>
      </c>
      <c r="F7" t="s">
        <v>86</v>
      </c>
      <c r="H7" s="1" t="s">
        <v>350</v>
      </c>
      <c r="I7">
        <v>15754</v>
      </c>
      <c r="K7">
        <v>15754</v>
      </c>
    </row>
    <row r="8" spans="1:11" x14ac:dyDescent="0.3">
      <c r="A8" t="s">
        <v>281</v>
      </c>
      <c r="B8" t="s">
        <v>282</v>
      </c>
      <c r="C8" t="s">
        <v>283</v>
      </c>
      <c r="D8" s="74">
        <v>12053</v>
      </c>
      <c r="E8" t="s">
        <v>349</v>
      </c>
      <c r="F8" t="s">
        <v>86</v>
      </c>
      <c r="H8" s="1" t="s">
        <v>349</v>
      </c>
      <c r="I8">
        <v>54439</v>
      </c>
      <c r="J8">
        <v>20233</v>
      </c>
      <c r="K8">
        <v>74672</v>
      </c>
    </row>
    <row r="9" spans="1:11" x14ac:dyDescent="0.3">
      <c r="A9" t="s">
        <v>284</v>
      </c>
      <c r="B9" t="s">
        <v>285</v>
      </c>
      <c r="C9" t="s">
        <v>286</v>
      </c>
      <c r="D9" s="74">
        <v>4035</v>
      </c>
      <c r="E9" t="s">
        <v>352</v>
      </c>
      <c r="F9" t="s">
        <v>86</v>
      </c>
      <c r="H9" s="1" t="s">
        <v>355</v>
      </c>
      <c r="I9">
        <v>1282</v>
      </c>
      <c r="K9">
        <v>1282</v>
      </c>
    </row>
    <row r="10" spans="1:11" x14ac:dyDescent="0.3">
      <c r="A10" t="s">
        <v>287</v>
      </c>
      <c r="B10" t="s">
        <v>285</v>
      </c>
      <c r="C10" t="s">
        <v>288</v>
      </c>
      <c r="D10" s="74">
        <v>4035</v>
      </c>
      <c r="E10" t="s">
        <v>350</v>
      </c>
      <c r="F10" t="s">
        <v>86</v>
      </c>
      <c r="H10" s="1" t="s">
        <v>353</v>
      </c>
      <c r="I10">
        <v>691</v>
      </c>
      <c r="K10">
        <v>691</v>
      </c>
    </row>
    <row r="11" spans="1:11" x14ac:dyDescent="0.3">
      <c r="A11" t="s">
        <v>289</v>
      </c>
      <c r="B11" t="s">
        <v>290</v>
      </c>
      <c r="C11" t="s">
        <v>291</v>
      </c>
      <c r="D11" s="74">
        <v>2456</v>
      </c>
      <c r="E11" t="s">
        <v>350</v>
      </c>
      <c r="F11" t="s">
        <v>86</v>
      </c>
      <c r="H11" s="1" t="s">
        <v>352</v>
      </c>
      <c r="I11">
        <v>20559</v>
      </c>
      <c r="J11">
        <v>5180</v>
      </c>
      <c r="K11">
        <v>25739</v>
      </c>
    </row>
    <row r="12" spans="1:11" x14ac:dyDescent="0.3">
      <c r="A12" t="s">
        <v>292</v>
      </c>
      <c r="B12" t="s">
        <v>290</v>
      </c>
      <c r="C12" t="s">
        <v>293</v>
      </c>
      <c r="D12" s="74">
        <v>2456</v>
      </c>
      <c r="E12" t="s">
        <v>352</v>
      </c>
      <c r="F12" t="s">
        <v>86</v>
      </c>
      <c r="H12" s="1" t="s">
        <v>358</v>
      </c>
      <c r="I12">
        <v>101736</v>
      </c>
      <c r="J12">
        <v>26448</v>
      </c>
      <c r="K12">
        <v>128184</v>
      </c>
    </row>
    <row r="13" spans="1:11" x14ac:dyDescent="0.3">
      <c r="A13" t="s">
        <v>294</v>
      </c>
      <c r="B13" t="s">
        <v>295</v>
      </c>
      <c r="C13" t="s">
        <v>296</v>
      </c>
      <c r="D13" s="74">
        <v>5838</v>
      </c>
      <c r="E13" t="s">
        <v>349</v>
      </c>
      <c r="F13" t="s">
        <v>86</v>
      </c>
    </row>
    <row r="14" spans="1:11" x14ac:dyDescent="0.3">
      <c r="A14" t="s">
        <v>297</v>
      </c>
      <c r="B14" t="s">
        <v>298</v>
      </c>
      <c r="C14" t="s">
        <v>299</v>
      </c>
      <c r="D14" s="73">
        <v>788</v>
      </c>
      <c r="E14" t="s">
        <v>351</v>
      </c>
      <c r="F14" t="s">
        <v>244</v>
      </c>
    </row>
    <row r="15" spans="1:11" x14ac:dyDescent="0.3">
      <c r="A15" t="s">
        <v>300</v>
      </c>
      <c r="B15" t="s">
        <v>298</v>
      </c>
      <c r="C15" t="s">
        <v>301</v>
      </c>
      <c r="D15" s="73">
        <v>27</v>
      </c>
      <c r="E15" t="s">
        <v>354</v>
      </c>
      <c r="F15" t="s">
        <v>244</v>
      </c>
    </row>
    <row r="16" spans="1:11" x14ac:dyDescent="0.3">
      <c r="A16" t="s">
        <v>302</v>
      </c>
      <c r="B16" t="s">
        <v>303</v>
      </c>
      <c r="C16" t="s">
        <v>304</v>
      </c>
      <c r="D16" s="74">
        <v>8909</v>
      </c>
      <c r="E16" t="s">
        <v>349</v>
      </c>
      <c r="F16" t="s">
        <v>86</v>
      </c>
    </row>
    <row r="17" spans="1:6" x14ac:dyDescent="0.3">
      <c r="A17" t="s">
        <v>305</v>
      </c>
      <c r="B17" t="s">
        <v>306</v>
      </c>
      <c r="C17" t="s">
        <v>307</v>
      </c>
      <c r="D17" s="73">
        <v>220</v>
      </c>
      <c r="E17" t="s">
        <v>351</v>
      </c>
      <c r="F17" t="s">
        <v>244</v>
      </c>
    </row>
    <row r="18" spans="1:6" x14ac:dyDescent="0.3">
      <c r="A18" t="s">
        <v>308</v>
      </c>
      <c r="B18" t="s">
        <v>306</v>
      </c>
      <c r="C18" t="s">
        <v>309</v>
      </c>
      <c r="D18" s="73">
        <v>276</v>
      </c>
      <c r="E18" t="s">
        <v>354</v>
      </c>
      <c r="F18" t="s">
        <v>86</v>
      </c>
    </row>
    <row r="19" spans="1:6" x14ac:dyDescent="0.3">
      <c r="A19" t="s">
        <v>310</v>
      </c>
      <c r="B19" t="s">
        <v>306</v>
      </c>
      <c r="C19" t="s">
        <v>311</v>
      </c>
      <c r="D19" s="73">
        <v>270</v>
      </c>
      <c r="E19" t="s">
        <v>354</v>
      </c>
      <c r="F19" t="s">
        <v>86</v>
      </c>
    </row>
    <row r="20" spans="1:6" x14ac:dyDescent="0.3">
      <c r="A20" t="s">
        <v>312</v>
      </c>
      <c r="B20" t="s">
        <v>313</v>
      </c>
      <c r="C20" t="s">
        <v>314</v>
      </c>
      <c r="D20" s="74">
        <v>1262</v>
      </c>
      <c r="E20" t="s">
        <v>355</v>
      </c>
      <c r="F20" t="s">
        <v>86</v>
      </c>
    </row>
    <row r="21" spans="1:6" x14ac:dyDescent="0.3">
      <c r="A21" t="s">
        <v>315</v>
      </c>
      <c r="B21" t="s">
        <v>316</v>
      </c>
      <c r="C21" t="s">
        <v>317</v>
      </c>
      <c r="D21" s="74">
        <v>7568</v>
      </c>
      <c r="E21" t="s">
        <v>351</v>
      </c>
      <c r="F21" t="s">
        <v>86</v>
      </c>
    </row>
    <row r="22" spans="1:6" x14ac:dyDescent="0.3">
      <c r="A22" t="s">
        <v>318</v>
      </c>
      <c r="B22" t="s">
        <v>319</v>
      </c>
      <c r="C22" t="s">
        <v>320</v>
      </c>
      <c r="D22" s="73">
        <v>258</v>
      </c>
      <c r="E22" t="s">
        <v>353</v>
      </c>
      <c r="F22" t="s">
        <v>86</v>
      </c>
    </row>
    <row r="23" spans="1:6" x14ac:dyDescent="0.3">
      <c r="A23" t="s">
        <v>321</v>
      </c>
      <c r="B23" t="s">
        <v>319</v>
      </c>
      <c r="C23" t="s">
        <v>322</v>
      </c>
      <c r="D23" s="73">
        <v>842</v>
      </c>
      <c r="E23" t="s">
        <v>351</v>
      </c>
      <c r="F23" t="s">
        <v>86</v>
      </c>
    </row>
    <row r="24" spans="1:6" x14ac:dyDescent="0.3">
      <c r="A24" t="s">
        <v>323</v>
      </c>
      <c r="B24" t="s">
        <v>319</v>
      </c>
      <c r="C24" t="s">
        <v>324</v>
      </c>
      <c r="D24" s="73">
        <v>55</v>
      </c>
      <c r="E24" t="s">
        <v>351</v>
      </c>
      <c r="F24" t="s">
        <v>86</v>
      </c>
    </row>
    <row r="25" spans="1:6" x14ac:dyDescent="0.3">
      <c r="A25" t="s">
        <v>325</v>
      </c>
      <c r="B25" t="s">
        <v>319</v>
      </c>
      <c r="C25" t="s">
        <v>326</v>
      </c>
      <c r="D25" s="74">
        <v>1701</v>
      </c>
      <c r="E25" t="s">
        <v>350</v>
      </c>
      <c r="F25" t="s">
        <v>86</v>
      </c>
    </row>
    <row r="26" spans="1:6" x14ac:dyDescent="0.3">
      <c r="A26" t="s">
        <v>327</v>
      </c>
      <c r="B26" t="s">
        <v>319</v>
      </c>
      <c r="C26" t="s">
        <v>328</v>
      </c>
      <c r="D26" s="73">
        <v>533</v>
      </c>
      <c r="E26" t="s">
        <v>350</v>
      </c>
      <c r="F26" t="s">
        <v>86</v>
      </c>
    </row>
    <row r="27" spans="1:6" x14ac:dyDescent="0.3">
      <c r="A27" t="s">
        <v>329</v>
      </c>
      <c r="B27" t="s">
        <v>319</v>
      </c>
      <c r="C27" t="s">
        <v>330</v>
      </c>
      <c r="D27" s="74">
        <v>5481</v>
      </c>
      <c r="E27" t="s">
        <v>350</v>
      </c>
      <c r="F27" t="s">
        <v>86</v>
      </c>
    </row>
    <row r="28" spans="1:6" x14ac:dyDescent="0.3">
      <c r="A28" t="s">
        <v>331</v>
      </c>
      <c r="B28" t="s">
        <v>319</v>
      </c>
      <c r="C28" t="s">
        <v>332</v>
      </c>
      <c r="D28" s="74">
        <v>1548</v>
      </c>
      <c r="E28" t="s">
        <v>350</v>
      </c>
      <c r="F28" t="s">
        <v>86</v>
      </c>
    </row>
    <row r="29" spans="1:6" x14ac:dyDescent="0.3">
      <c r="A29" t="s">
        <v>333</v>
      </c>
      <c r="B29" t="s">
        <v>319</v>
      </c>
      <c r="C29" t="s">
        <v>334</v>
      </c>
      <c r="D29" s="74">
        <v>1154</v>
      </c>
      <c r="E29" t="s">
        <v>349</v>
      </c>
      <c r="F29" t="s">
        <v>86</v>
      </c>
    </row>
    <row r="30" spans="1:6" x14ac:dyDescent="0.3">
      <c r="A30" t="s">
        <v>335</v>
      </c>
      <c r="B30" t="s">
        <v>319</v>
      </c>
      <c r="C30" t="s">
        <v>336</v>
      </c>
      <c r="D30" s="74">
        <v>21044</v>
      </c>
      <c r="E30" t="s">
        <v>349</v>
      </c>
      <c r="F30" t="s">
        <v>86</v>
      </c>
    </row>
    <row r="31" spans="1:6" x14ac:dyDescent="0.3">
      <c r="A31" t="s">
        <v>337</v>
      </c>
      <c r="B31" t="s">
        <v>319</v>
      </c>
      <c r="C31" t="s">
        <v>338</v>
      </c>
      <c r="D31" s="74">
        <v>5220</v>
      </c>
      <c r="E31" t="s">
        <v>349</v>
      </c>
      <c r="F31" t="s">
        <v>86</v>
      </c>
    </row>
    <row r="32" spans="1:6" x14ac:dyDescent="0.3">
      <c r="A32" t="s">
        <v>339</v>
      </c>
      <c r="B32" t="s">
        <v>319</v>
      </c>
      <c r="C32" t="s">
        <v>340</v>
      </c>
      <c r="D32" s="73">
        <v>221</v>
      </c>
      <c r="E32" t="s">
        <v>349</v>
      </c>
      <c r="F32" t="s">
        <v>86</v>
      </c>
    </row>
    <row r="33" spans="1:6" x14ac:dyDescent="0.3">
      <c r="A33" t="s">
        <v>341</v>
      </c>
      <c r="B33" t="s">
        <v>319</v>
      </c>
      <c r="C33" t="s">
        <v>342</v>
      </c>
      <c r="D33" s="74">
        <v>6522</v>
      </c>
      <c r="E33" t="s">
        <v>352</v>
      </c>
      <c r="F33" t="s">
        <v>86</v>
      </c>
    </row>
    <row r="34" spans="1:6" x14ac:dyDescent="0.3">
      <c r="A34" t="s">
        <v>343</v>
      </c>
      <c r="B34" t="s">
        <v>319</v>
      </c>
      <c r="C34" t="s">
        <v>344</v>
      </c>
      <c r="D34" s="73">
        <v>533</v>
      </c>
      <c r="E34" t="s">
        <v>352</v>
      </c>
      <c r="F34" t="s">
        <v>86</v>
      </c>
    </row>
    <row r="35" spans="1:6" x14ac:dyDescent="0.3">
      <c r="A35" t="s">
        <v>345</v>
      </c>
      <c r="B35" t="s">
        <v>319</v>
      </c>
      <c r="C35" t="s">
        <v>346</v>
      </c>
      <c r="D35" s="74">
        <v>1548</v>
      </c>
      <c r="E35" t="s">
        <v>352</v>
      </c>
      <c r="F35" t="s">
        <v>86</v>
      </c>
    </row>
    <row r="36" spans="1:6" x14ac:dyDescent="0.3">
      <c r="A36" t="s">
        <v>347</v>
      </c>
      <c r="B36" t="s">
        <v>319</v>
      </c>
      <c r="C36" t="s">
        <v>348</v>
      </c>
      <c r="D36" s="73">
        <v>20</v>
      </c>
      <c r="E36" t="s">
        <v>355</v>
      </c>
      <c r="F36" t="s">
        <v>86</v>
      </c>
    </row>
  </sheetData>
  <mergeCells count="1">
    <mergeCell ref="A1:E1"/>
  </mergeCell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"/>
  <sheetViews>
    <sheetView view="pageBreakPreview" topLeftCell="A11" zoomScaleNormal="100" zoomScaleSheetLayoutView="100" workbookViewId="0">
      <selection activeCell="J27" sqref="J27"/>
    </sheetView>
  </sheetViews>
  <sheetFormatPr defaultColWidth="9.33203125" defaultRowHeight="14.4" x14ac:dyDescent="0.3"/>
  <cols>
    <col min="1" max="1" width="3.33203125" style="70" bestFit="1" customWidth="1"/>
    <col min="2" max="2" width="18.44140625" style="139" bestFit="1" customWidth="1"/>
    <col min="3" max="3" width="6.33203125" style="70" bestFit="1" customWidth="1"/>
    <col min="4" max="4" width="7.33203125" style="70" bestFit="1" customWidth="1"/>
    <col min="5" max="5" width="10.33203125" style="70" bestFit="1" customWidth="1"/>
    <col min="6" max="6" width="12.5546875" style="10" bestFit="1" customWidth="1"/>
    <col min="7" max="7" width="10" style="10" bestFit="1" customWidth="1"/>
    <col min="8" max="9" width="10" style="10" customWidth="1"/>
    <col min="10" max="10" width="12.5546875" style="10" bestFit="1" customWidth="1"/>
    <col min="11" max="11" width="10.33203125" style="11" bestFit="1" customWidth="1"/>
    <col min="12" max="12" width="12.6640625" style="70" bestFit="1" customWidth="1"/>
    <col min="13" max="14" width="8.6640625" style="112" hidden="1" customWidth="1"/>
    <col min="15" max="15" width="18.44140625" style="112" bestFit="1" customWidth="1"/>
    <col min="16" max="17" width="7" style="112" bestFit="1" customWidth="1"/>
    <col min="18" max="19" width="5" style="112" bestFit="1" customWidth="1"/>
    <col min="20" max="20" width="4.6640625" style="112" bestFit="1" customWidth="1"/>
    <col min="21" max="16384" width="9.33203125" style="112"/>
  </cols>
  <sheetData>
    <row r="1" spans="1:15" ht="18" x14ac:dyDescent="0.3">
      <c r="B1" s="180" t="s">
        <v>28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5" ht="9.9" customHeight="1" x14ac:dyDescent="0.3">
      <c r="A2" s="70" t="s">
        <v>39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5" ht="17.399999999999999" x14ac:dyDescent="0.3">
      <c r="A3" s="181" t="s">
        <v>203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</row>
    <row r="4" spans="1:15" ht="15" thickBot="1" x14ac:dyDescent="0.35">
      <c r="B4" s="40"/>
      <c r="C4" s="40"/>
      <c r="D4" s="40"/>
      <c r="E4" s="40"/>
      <c r="F4" s="40"/>
      <c r="G4" s="40"/>
      <c r="H4" s="40"/>
      <c r="I4" s="40"/>
      <c r="J4" s="40"/>
      <c r="K4" s="44"/>
      <c r="L4" s="76" t="s">
        <v>41</v>
      </c>
    </row>
    <row r="5" spans="1:15" s="70" customFormat="1" ht="43.8" thickBot="1" x14ac:dyDescent="0.35">
      <c r="A5" s="154" t="s">
        <v>23</v>
      </c>
      <c r="B5" s="155" t="s">
        <v>2</v>
      </c>
      <c r="C5" s="155" t="s">
        <v>9</v>
      </c>
      <c r="D5" s="155" t="s">
        <v>5</v>
      </c>
      <c r="E5" s="155" t="s">
        <v>3</v>
      </c>
      <c r="F5" s="156" t="s">
        <v>4</v>
      </c>
      <c r="G5" s="156" t="s">
        <v>160</v>
      </c>
      <c r="H5" s="156" t="s">
        <v>216</v>
      </c>
      <c r="I5" s="156" t="s">
        <v>220</v>
      </c>
      <c r="J5" s="156" t="s">
        <v>10</v>
      </c>
      <c r="K5" s="155" t="s">
        <v>6</v>
      </c>
      <c r="L5" s="157" t="s">
        <v>8</v>
      </c>
      <c r="O5" s="70" t="s">
        <v>373</v>
      </c>
    </row>
    <row r="6" spans="1:15" ht="20.100000000000001" customHeight="1" x14ac:dyDescent="0.3">
      <c r="A6" s="116">
        <v>1</v>
      </c>
      <c r="B6" s="117" t="s">
        <v>222</v>
      </c>
      <c r="C6" s="118">
        <v>6.0999999999999999E-2</v>
      </c>
      <c r="D6" s="119" t="s">
        <v>86</v>
      </c>
      <c r="E6" s="119" t="s">
        <v>223</v>
      </c>
      <c r="F6" s="120">
        <v>17000</v>
      </c>
      <c r="G6" s="120">
        <v>0</v>
      </c>
      <c r="H6" s="120">
        <v>0</v>
      </c>
      <c r="I6" s="120">
        <f t="shared" ref="I6:I20" si="0">SUM(G6:H6)</f>
        <v>0</v>
      </c>
      <c r="J6" s="120">
        <f t="shared" ref="J6:J20" si="1">F6+I6</f>
        <v>17000</v>
      </c>
      <c r="K6" s="119" t="s">
        <v>224</v>
      </c>
      <c r="L6" s="121">
        <v>17000</v>
      </c>
      <c r="O6" s="112" t="s">
        <v>374</v>
      </c>
    </row>
    <row r="7" spans="1:15" ht="20.100000000000001" customHeight="1" x14ac:dyDescent="0.3">
      <c r="A7" s="116">
        <v>2</v>
      </c>
      <c r="B7" s="117" t="s">
        <v>225</v>
      </c>
      <c r="C7" s="127">
        <v>0.06</v>
      </c>
      <c r="D7" s="119" t="s">
        <v>86</v>
      </c>
      <c r="E7" s="119" t="s">
        <v>180</v>
      </c>
      <c r="F7" s="120">
        <v>85162</v>
      </c>
      <c r="G7" s="120">
        <v>0</v>
      </c>
      <c r="H7" s="120">
        <f>1548-157</f>
        <v>1391</v>
      </c>
      <c r="I7" s="120">
        <f t="shared" si="0"/>
        <v>1391</v>
      </c>
      <c r="J7" s="120">
        <f t="shared" si="1"/>
        <v>86553</v>
      </c>
      <c r="K7" s="119" t="s">
        <v>226</v>
      </c>
      <c r="L7" s="121">
        <v>90388</v>
      </c>
      <c r="O7" s="114" t="s">
        <v>87</v>
      </c>
    </row>
    <row r="8" spans="1:15" ht="20.100000000000001" customHeight="1" x14ac:dyDescent="0.3">
      <c r="A8" s="116">
        <v>3</v>
      </c>
      <c r="B8" s="117" t="s">
        <v>162</v>
      </c>
      <c r="C8" s="128">
        <v>5.8500000000000003E-2</v>
      </c>
      <c r="D8" s="119" t="s">
        <v>86</v>
      </c>
      <c r="E8" s="119" t="s">
        <v>181</v>
      </c>
      <c r="F8" s="120">
        <v>45393</v>
      </c>
      <c r="G8" s="120">
        <v>0</v>
      </c>
      <c r="H8" s="120">
        <f>533-50</f>
        <v>483</v>
      </c>
      <c r="I8" s="120">
        <f t="shared" si="0"/>
        <v>483</v>
      </c>
      <c r="J8" s="120">
        <f t="shared" si="1"/>
        <v>45876</v>
      </c>
      <c r="K8" s="119" t="s">
        <v>228</v>
      </c>
      <c r="L8" s="121">
        <v>48107</v>
      </c>
      <c r="O8" s="114" t="s">
        <v>87</v>
      </c>
    </row>
    <row r="9" spans="1:15" ht="20.100000000000001" customHeight="1" x14ac:dyDescent="0.3">
      <c r="A9" s="116">
        <v>4</v>
      </c>
      <c r="B9" s="129" t="s">
        <v>231</v>
      </c>
      <c r="C9" s="118">
        <v>6.6000000000000003E-2</v>
      </c>
      <c r="D9" s="119" t="s">
        <v>86</v>
      </c>
      <c r="E9" s="119" t="s">
        <v>179</v>
      </c>
      <c r="F9" s="120">
        <v>134058</v>
      </c>
      <c r="G9" s="120">
        <v>0</v>
      </c>
      <c r="H9" s="120">
        <f>6522-648</f>
        <v>5874</v>
      </c>
      <c r="I9" s="120">
        <f t="shared" si="0"/>
        <v>5874</v>
      </c>
      <c r="J9" s="120">
        <f t="shared" si="1"/>
        <v>139932</v>
      </c>
      <c r="K9" s="119" t="s">
        <v>232</v>
      </c>
      <c r="L9" s="121">
        <v>142906</v>
      </c>
      <c r="O9" s="114" t="s">
        <v>87</v>
      </c>
    </row>
    <row r="10" spans="1:15" ht="20.100000000000001" customHeight="1" x14ac:dyDescent="0.3">
      <c r="A10" s="130">
        <v>5</v>
      </c>
      <c r="B10" s="117" t="s">
        <v>217</v>
      </c>
      <c r="C10" s="128">
        <v>5.8500000000000003E-2</v>
      </c>
      <c r="D10" s="119" t="s">
        <v>86</v>
      </c>
      <c r="E10" s="131" t="s">
        <v>175</v>
      </c>
      <c r="F10" s="132">
        <v>136004</v>
      </c>
      <c r="G10" s="120">
        <v>0</v>
      </c>
      <c r="H10" s="132">
        <f>221-25</f>
        <v>196</v>
      </c>
      <c r="I10" s="120">
        <f t="shared" si="0"/>
        <v>196</v>
      </c>
      <c r="J10" s="120">
        <f t="shared" si="1"/>
        <v>136200</v>
      </c>
      <c r="K10" s="131" t="s">
        <v>218</v>
      </c>
      <c r="L10" s="133">
        <v>144136</v>
      </c>
      <c r="O10" s="114" t="s">
        <v>88</v>
      </c>
    </row>
    <row r="11" spans="1:15" ht="20.100000000000001" customHeight="1" x14ac:dyDescent="0.3">
      <c r="A11" s="116">
        <v>6</v>
      </c>
      <c r="B11" s="129" t="s">
        <v>221</v>
      </c>
      <c r="C11" s="118">
        <v>6.0999999999999999E-2</v>
      </c>
      <c r="D11" s="119" t="s">
        <v>86</v>
      </c>
      <c r="E11" s="119" t="s">
        <v>147</v>
      </c>
      <c r="F11" s="120">
        <f>256700</f>
        <v>256700</v>
      </c>
      <c r="G11" s="120">
        <v>0</v>
      </c>
      <c r="H11" s="120">
        <f>5220-524</f>
        <v>4696</v>
      </c>
      <c r="I11" s="120">
        <f t="shared" si="0"/>
        <v>4696</v>
      </c>
      <c r="J11" s="120">
        <f t="shared" si="1"/>
        <v>261396</v>
      </c>
      <c r="K11" s="119" t="s">
        <v>257</v>
      </c>
      <c r="L11" s="121">
        <v>289741</v>
      </c>
      <c r="O11" s="114" t="s">
        <v>88</v>
      </c>
    </row>
    <row r="12" spans="1:15" ht="20.100000000000001" customHeight="1" x14ac:dyDescent="0.3">
      <c r="A12" s="116">
        <v>7</v>
      </c>
      <c r="B12" s="129">
        <v>101043101006109</v>
      </c>
      <c r="C12" s="128">
        <v>7.2499999999999995E-2</v>
      </c>
      <c r="D12" s="119" t="s">
        <v>86</v>
      </c>
      <c r="E12" s="119" t="s">
        <v>161</v>
      </c>
      <c r="F12" s="120">
        <v>277000</v>
      </c>
      <c r="G12" s="120">
        <f>6946-696</f>
        <v>6250</v>
      </c>
      <c r="H12" s="120">
        <f>21044-2106</f>
        <v>18938</v>
      </c>
      <c r="I12" s="120">
        <f t="shared" si="0"/>
        <v>25188</v>
      </c>
      <c r="J12" s="120">
        <f t="shared" si="1"/>
        <v>302188</v>
      </c>
      <c r="K12" s="119" t="s">
        <v>178</v>
      </c>
      <c r="L12" s="121">
        <v>341592</v>
      </c>
      <c r="O12" s="114" t="s">
        <v>88</v>
      </c>
    </row>
    <row r="13" spans="1:15" ht="20.100000000000001" customHeight="1" x14ac:dyDescent="0.3">
      <c r="A13" s="116">
        <v>8</v>
      </c>
      <c r="B13" s="129" t="s">
        <v>243</v>
      </c>
      <c r="C13" s="118">
        <v>6.0999999999999999E-2</v>
      </c>
      <c r="D13" s="119" t="s">
        <v>86</v>
      </c>
      <c r="E13" s="119" t="s">
        <v>177</v>
      </c>
      <c r="F13" s="120">
        <v>106388</v>
      </c>
      <c r="G13" s="120">
        <v>0</v>
      </c>
      <c r="H13" s="120">
        <f>1154-117</f>
        <v>1037</v>
      </c>
      <c r="I13" s="120">
        <f t="shared" si="0"/>
        <v>1037</v>
      </c>
      <c r="J13" s="120">
        <f t="shared" si="1"/>
        <v>107425</v>
      </c>
      <c r="K13" s="119" t="s">
        <v>177</v>
      </c>
      <c r="L13" s="121">
        <v>112878</v>
      </c>
      <c r="O13" s="114" t="s">
        <v>88</v>
      </c>
    </row>
    <row r="14" spans="1:15" ht="20.100000000000001" customHeight="1" x14ac:dyDescent="0.3">
      <c r="A14" s="116">
        <v>9</v>
      </c>
      <c r="B14" s="129" t="s">
        <v>227</v>
      </c>
      <c r="C14" s="127">
        <v>0.06</v>
      </c>
      <c r="D14" s="119" t="s">
        <v>86</v>
      </c>
      <c r="E14" s="119" t="s">
        <v>180</v>
      </c>
      <c r="F14" s="120">
        <v>85162</v>
      </c>
      <c r="G14" s="120">
        <v>0</v>
      </c>
      <c r="H14" s="120">
        <f>1548-157</f>
        <v>1391</v>
      </c>
      <c r="I14" s="120">
        <f t="shared" si="0"/>
        <v>1391</v>
      </c>
      <c r="J14" s="120">
        <f t="shared" si="1"/>
        <v>86553</v>
      </c>
      <c r="K14" s="119" t="s">
        <v>226</v>
      </c>
      <c r="L14" s="121">
        <v>90388</v>
      </c>
      <c r="O14" s="114" t="s">
        <v>90</v>
      </c>
    </row>
    <row r="15" spans="1:15" ht="20.100000000000001" customHeight="1" x14ac:dyDescent="0.3">
      <c r="A15" s="130">
        <v>10</v>
      </c>
      <c r="B15" s="129" t="s">
        <v>240</v>
      </c>
      <c r="C15" s="128">
        <v>6.3500000000000001E-2</v>
      </c>
      <c r="D15" s="119" t="s">
        <v>86</v>
      </c>
      <c r="E15" s="131" t="s">
        <v>182</v>
      </c>
      <c r="F15" s="132">
        <v>132988</v>
      </c>
      <c r="G15" s="120">
        <v>0</v>
      </c>
      <c r="H15" s="132">
        <f>5481-550</f>
        <v>4931</v>
      </c>
      <c r="I15" s="120">
        <f t="shared" si="0"/>
        <v>4931</v>
      </c>
      <c r="J15" s="120">
        <f t="shared" si="1"/>
        <v>137919</v>
      </c>
      <c r="K15" s="131" t="s">
        <v>230</v>
      </c>
      <c r="L15" s="133">
        <v>141433</v>
      </c>
      <c r="O15" s="114" t="s">
        <v>90</v>
      </c>
    </row>
    <row r="16" spans="1:15" ht="20.100000000000001" customHeight="1" x14ac:dyDescent="0.3">
      <c r="A16" s="119">
        <v>11</v>
      </c>
      <c r="B16" s="129" t="s">
        <v>229</v>
      </c>
      <c r="C16" s="128">
        <v>5.8500000000000003E-2</v>
      </c>
      <c r="D16" s="131" t="s">
        <v>86</v>
      </c>
      <c r="E16" s="131" t="s">
        <v>181</v>
      </c>
      <c r="F16" s="132">
        <v>45393</v>
      </c>
      <c r="G16" s="132">
        <v>0</v>
      </c>
      <c r="H16" s="132">
        <f>533-50</f>
        <v>483</v>
      </c>
      <c r="I16" s="120">
        <f t="shared" si="0"/>
        <v>483</v>
      </c>
      <c r="J16" s="120">
        <f t="shared" si="1"/>
        <v>45876</v>
      </c>
      <c r="K16" s="131" t="s">
        <v>228</v>
      </c>
      <c r="L16" s="133">
        <v>48107</v>
      </c>
      <c r="O16" s="114" t="s">
        <v>90</v>
      </c>
    </row>
    <row r="17" spans="1:16" ht="20.100000000000001" customHeight="1" x14ac:dyDescent="0.3">
      <c r="A17" s="116">
        <v>12</v>
      </c>
      <c r="B17" s="129">
        <v>101043031007357</v>
      </c>
      <c r="C17" s="128">
        <v>6.25E-2</v>
      </c>
      <c r="D17" s="119" t="s">
        <v>86</v>
      </c>
      <c r="E17" s="119" t="s">
        <v>241</v>
      </c>
      <c r="F17" s="120">
        <v>126000</v>
      </c>
      <c r="G17" s="120">
        <v>0</v>
      </c>
      <c r="H17" s="120">
        <f>1701-171</f>
        <v>1530</v>
      </c>
      <c r="I17" s="120">
        <f t="shared" si="0"/>
        <v>1530</v>
      </c>
      <c r="J17" s="120">
        <f t="shared" si="1"/>
        <v>127530</v>
      </c>
      <c r="K17" s="119" t="s">
        <v>242</v>
      </c>
      <c r="L17" s="121">
        <v>133875</v>
      </c>
      <c r="O17" s="114" t="s">
        <v>90</v>
      </c>
    </row>
    <row r="18" spans="1:16" ht="20.100000000000001" customHeight="1" x14ac:dyDescent="0.3">
      <c r="A18" s="116">
        <v>13</v>
      </c>
      <c r="B18" s="117" t="s">
        <v>235</v>
      </c>
      <c r="C18" s="128">
        <v>5.5800000000000002E-2</v>
      </c>
      <c r="D18" s="119" t="s">
        <v>86</v>
      </c>
      <c r="E18" s="119" t="s">
        <v>174</v>
      </c>
      <c r="F18" s="120">
        <v>113321</v>
      </c>
      <c r="G18" s="120">
        <v>0</v>
      </c>
      <c r="H18" s="120">
        <f>55-7</f>
        <v>48</v>
      </c>
      <c r="I18" s="120">
        <f t="shared" si="0"/>
        <v>48</v>
      </c>
      <c r="J18" s="120">
        <f t="shared" si="1"/>
        <v>113369</v>
      </c>
      <c r="K18" s="119" t="s">
        <v>236</v>
      </c>
      <c r="L18" s="121">
        <v>120097</v>
      </c>
      <c r="O18" s="114" t="s">
        <v>91</v>
      </c>
    </row>
    <row r="19" spans="1:16" ht="20.100000000000001" customHeight="1" x14ac:dyDescent="0.3">
      <c r="A19" s="130">
        <v>14</v>
      </c>
      <c r="B19" s="129">
        <v>101043021004998</v>
      </c>
      <c r="C19" s="128">
        <v>6.25E-2</v>
      </c>
      <c r="D19" s="119" t="s">
        <v>86</v>
      </c>
      <c r="E19" s="119" t="s">
        <v>238</v>
      </c>
      <c r="F19" s="120">
        <v>25000</v>
      </c>
      <c r="G19" s="120">
        <v>0</v>
      </c>
      <c r="H19" s="120">
        <f>842-87</f>
        <v>755</v>
      </c>
      <c r="I19" s="120">
        <f t="shared" si="0"/>
        <v>755</v>
      </c>
      <c r="J19" s="120">
        <f t="shared" si="1"/>
        <v>25755</v>
      </c>
      <c r="K19" s="119" t="s">
        <v>239</v>
      </c>
      <c r="L19" s="121">
        <v>26563</v>
      </c>
      <c r="O19" s="114" t="s">
        <v>91</v>
      </c>
    </row>
    <row r="20" spans="1:16" ht="20.100000000000001" customHeight="1" x14ac:dyDescent="0.3">
      <c r="A20" s="130">
        <v>15</v>
      </c>
      <c r="B20" s="129" t="s">
        <v>233</v>
      </c>
      <c r="C20" s="158">
        <v>6.25E-2</v>
      </c>
      <c r="D20" s="119" t="s">
        <v>86</v>
      </c>
      <c r="E20" s="131" t="s">
        <v>176</v>
      </c>
      <c r="F20" s="132">
        <v>10645</v>
      </c>
      <c r="G20" s="120">
        <v>0</v>
      </c>
      <c r="H20" s="132">
        <f>258-20</f>
        <v>238</v>
      </c>
      <c r="I20" s="120">
        <f t="shared" si="0"/>
        <v>238</v>
      </c>
      <c r="J20" s="120">
        <f t="shared" si="1"/>
        <v>10883</v>
      </c>
      <c r="K20" s="131" t="s">
        <v>234</v>
      </c>
      <c r="L20" s="133">
        <v>11310</v>
      </c>
      <c r="O20" s="114" t="s">
        <v>173</v>
      </c>
    </row>
    <row r="21" spans="1:16" ht="20.100000000000001" customHeight="1" x14ac:dyDescent="0.3">
      <c r="A21" s="131"/>
      <c r="B21" s="129"/>
      <c r="C21" s="158"/>
      <c r="D21" s="119"/>
      <c r="E21" s="131"/>
      <c r="F21" s="160">
        <f>SUM(F6:F20)</f>
        <v>1596214</v>
      </c>
      <c r="G21" s="160">
        <f t="shared" ref="G21:L21" si="2">SUM(G6:G20)</f>
        <v>6250</v>
      </c>
      <c r="H21" s="160">
        <f t="shared" si="2"/>
        <v>41991</v>
      </c>
      <c r="I21" s="160">
        <f t="shared" si="2"/>
        <v>48241</v>
      </c>
      <c r="J21" s="160">
        <f t="shared" si="2"/>
        <v>1644455</v>
      </c>
      <c r="K21" s="160">
        <f t="shared" si="2"/>
        <v>0</v>
      </c>
      <c r="L21" s="160">
        <f t="shared" si="2"/>
        <v>1758521</v>
      </c>
      <c r="O21" s="114"/>
    </row>
    <row r="22" spans="1:16" ht="20.100000000000001" customHeight="1" x14ac:dyDescent="0.3">
      <c r="A22" s="119">
        <v>16</v>
      </c>
      <c r="B22" s="129">
        <v>163971</v>
      </c>
      <c r="C22" s="128">
        <v>7.2499999999999995E-2</v>
      </c>
      <c r="D22" s="119" t="s">
        <v>244</v>
      </c>
      <c r="E22" s="119" t="s">
        <v>245</v>
      </c>
      <c r="F22" s="120">
        <v>126000</v>
      </c>
      <c r="G22" s="120">
        <v>0</v>
      </c>
      <c r="H22" s="120">
        <v>5180</v>
      </c>
      <c r="I22" s="120">
        <f>SUM(G22:H22)</f>
        <v>5180</v>
      </c>
      <c r="J22" s="120">
        <f>F22+I22</f>
        <v>131180</v>
      </c>
      <c r="K22" s="119" t="s">
        <v>246</v>
      </c>
      <c r="L22" s="121">
        <v>135386</v>
      </c>
      <c r="O22" s="114" t="s">
        <v>87</v>
      </c>
    </row>
    <row r="23" spans="1:16" ht="20.100000000000001" customHeight="1" x14ac:dyDescent="0.3">
      <c r="A23" s="119">
        <v>17</v>
      </c>
      <c r="B23" s="129">
        <v>163734</v>
      </c>
      <c r="C23" s="128">
        <v>7.2499999999999995E-2</v>
      </c>
      <c r="D23" s="119" t="s">
        <v>244</v>
      </c>
      <c r="E23" s="131" t="s">
        <v>251</v>
      </c>
      <c r="F23" s="132">
        <v>377000</v>
      </c>
      <c r="G23" s="120">
        <v>0</v>
      </c>
      <c r="H23" s="132">
        <v>20233</v>
      </c>
      <c r="I23" s="120">
        <f>SUM(G23:H23)</f>
        <v>20233</v>
      </c>
      <c r="J23" s="120">
        <f>F23+I23</f>
        <v>397233</v>
      </c>
      <c r="K23" s="131" t="s">
        <v>252</v>
      </c>
      <c r="L23" s="133">
        <v>405085</v>
      </c>
      <c r="O23" s="114" t="s">
        <v>88</v>
      </c>
    </row>
    <row r="24" spans="1:16" ht="20.100000000000001" customHeight="1" x14ac:dyDescent="0.3">
      <c r="A24" s="119">
        <v>18</v>
      </c>
      <c r="B24" s="129">
        <v>156876</v>
      </c>
      <c r="C24" s="128">
        <v>6.8500000000000005E-2</v>
      </c>
      <c r="D24" s="119" t="s">
        <v>244</v>
      </c>
      <c r="E24" s="131" t="s">
        <v>249</v>
      </c>
      <c r="F24" s="132">
        <v>4100</v>
      </c>
      <c r="G24" s="132">
        <v>0</v>
      </c>
      <c r="H24" s="132">
        <v>27</v>
      </c>
      <c r="I24" s="120">
        <f>SUM(G24:H24)</f>
        <v>27</v>
      </c>
      <c r="J24" s="120">
        <f>F24+I24</f>
        <v>4127</v>
      </c>
      <c r="K24" s="131" t="s">
        <v>250</v>
      </c>
      <c r="L24" s="133">
        <v>4388</v>
      </c>
      <c r="O24" s="114" t="s">
        <v>89</v>
      </c>
    </row>
    <row r="25" spans="1:16" ht="20.100000000000001" customHeight="1" x14ac:dyDescent="0.3">
      <c r="A25" s="119">
        <v>19</v>
      </c>
      <c r="B25" s="129">
        <v>156982</v>
      </c>
      <c r="C25" s="128">
        <v>6.8500000000000005E-2</v>
      </c>
      <c r="D25" s="119" t="s">
        <v>244</v>
      </c>
      <c r="E25" s="131" t="s">
        <v>247</v>
      </c>
      <c r="F25" s="132">
        <v>130000</v>
      </c>
      <c r="G25" s="132">
        <v>0</v>
      </c>
      <c r="H25" s="132">
        <v>220</v>
      </c>
      <c r="I25" s="120">
        <f>SUM(G25:H25)</f>
        <v>220</v>
      </c>
      <c r="J25" s="120">
        <f>F25+I25</f>
        <v>130220</v>
      </c>
      <c r="K25" s="131" t="s">
        <v>248</v>
      </c>
      <c r="L25" s="133">
        <v>139136</v>
      </c>
      <c r="O25" s="114" t="s">
        <v>91</v>
      </c>
    </row>
    <row r="26" spans="1:16" ht="20.100000000000001" customHeight="1" x14ac:dyDescent="0.3">
      <c r="A26" s="116">
        <v>20</v>
      </c>
      <c r="B26" s="129">
        <v>156877</v>
      </c>
      <c r="C26" s="128">
        <v>6.8500000000000005E-2</v>
      </c>
      <c r="D26" s="119" t="s">
        <v>244</v>
      </c>
      <c r="E26" s="119" t="s">
        <v>249</v>
      </c>
      <c r="F26" s="120">
        <v>120000</v>
      </c>
      <c r="G26" s="120">
        <v>0</v>
      </c>
      <c r="H26" s="120">
        <v>788</v>
      </c>
      <c r="I26" s="120">
        <f>SUM(G26:H26)</f>
        <v>788</v>
      </c>
      <c r="J26" s="120">
        <f>F26+I26</f>
        <v>120788</v>
      </c>
      <c r="K26" s="119" t="s">
        <v>250</v>
      </c>
      <c r="L26" s="121">
        <v>128434</v>
      </c>
      <c r="O26" s="114" t="s">
        <v>91</v>
      </c>
      <c r="P26" s="126"/>
    </row>
    <row r="27" spans="1:16" ht="20.100000000000001" customHeight="1" x14ac:dyDescent="0.3">
      <c r="A27" s="130"/>
      <c r="B27" s="159"/>
      <c r="C27" s="134"/>
      <c r="D27" s="131"/>
      <c r="E27" s="131"/>
      <c r="F27" s="160">
        <f>SUM(F22:F26)</f>
        <v>757100</v>
      </c>
      <c r="G27" s="160">
        <f t="shared" ref="G27:L27" si="3">SUM(G22:G26)</f>
        <v>0</v>
      </c>
      <c r="H27" s="160">
        <f t="shared" si="3"/>
        <v>26448</v>
      </c>
      <c r="I27" s="160">
        <f t="shared" si="3"/>
        <v>26448</v>
      </c>
      <c r="J27" s="160">
        <f t="shared" si="3"/>
        <v>783548</v>
      </c>
      <c r="K27" s="160">
        <f t="shared" si="3"/>
        <v>0</v>
      </c>
      <c r="L27" s="160">
        <f t="shared" si="3"/>
        <v>812429</v>
      </c>
      <c r="O27" s="114"/>
      <c r="P27" s="126"/>
    </row>
    <row r="28" spans="1:16" ht="20.100000000000001" customHeight="1" thickBot="1" x14ac:dyDescent="0.35">
      <c r="A28" s="122"/>
      <c r="B28" s="123"/>
      <c r="C28" s="124"/>
      <c r="D28" s="124"/>
      <c r="E28" s="124"/>
      <c r="F28" s="21"/>
      <c r="G28" s="21"/>
      <c r="H28" s="21"/>
      <c r="I28" s="21"/>
      <c r="J28" s="21"/>
      <c r="K28" s="21"/>
      <c r="L28" s="21"/>
      <c r="P28" s="126"/>
    </row>
    <row r="29" spans="1:16" ht="15" thickTop="1" x14ac:dyDescent="0.3"/>
  </sheetData>
  <sortState xmlns:xlrd2="http://schemas.microsoft.com/office/spreadsheetml/2017/richdata2" ref="B7:O25">
    <sortCondition ref="D7:D25"/>
  </sortState>
  <mergeCells count="2">
    <mergeCell ref="B1:L1"/>
    <mergeCell ref="A3:L3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BS</vt:lpstr>
      <vt:lpstr>IE</vt:lpstr>
      <vt:lpstr>Sch I - FD</vt:lpstr>
      <vt:lpstr>Sch II to IV - Vendors &amp; Mem.</vt:lpstr>
      <vt:lpstr>BRS</vt:lpstr>
      <vt:lpstr>Workings</vt:lpstr>
      <vt:lpstr>Interest on FD</vt:lpstr>
      <vt:lpstr>Sch I - FD (2)</vt:lpstr>
      <vt:lpstr>BS!Print_Area</vt:lpstr>
      <vt:lpstr>IE!Print_Area</vt:lpstr>
      <vt:lpstr>'Sch I - FD'!Print_Area</vt:lpstr>
      <vt:lpstr>'Sch I - FD (2)'!Print_Area</vt:lpstr>
      <vt:lpstr>'Sch II to IV - Vendors &amp; Mem.'!Print_Area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2026-07-14T16:33:13Z</cp:lastPrinted>
  <dcterms:created xsi:type="dcterms:W3CDTF">2015-06-05T18:17:20Z</dcterms:created>
  <dcterms:modified xsi:type="dcterms:W3CDTF">2026-07-14T16:33:22Z</dcterms:modified>
</cp:coreProperties>
</file>